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fa\Documents\GitHub\palfaros-knowledge-base\content\Ingeniería de Telecomunicación\Realización de proyectos de ICT\Servicios de radio y TV\"/>
    </mc:Choice>
  </mc:AlternateContent>
  <xr:revisionPtr revIDLastSave="0" documentId="13_ncr:1_{0A5C54B0-9571-40C9-A8BC-81AAF147EFF5}" xr6:coauthVersionLast="47" xr6:coauthVersionMax="47" xr10:uidLastSave="{00000000-0000-0000-0000-000000000000}"/>
  <bookViews>
    <workbookView xWindow="0" yWindow="0" windowWidth="14400" windowHeight="15600" firstSheet="1" activeTab="1" xr2:uid="{05F20D0D-700A-40D6-B3B2-C08799F32B6C}"/>
    <workbookView xWindow="14400" yWindow="0" windowWidth="14400" windowHeight="15600" firstSheet="1" activeTab="2" xr2:uid="{25218655-3AA3-4A01-86F5-3FD4FD14765A}"/>
  </bookViews>
  <sheets>
    <sheet name="Datos" sheetId="1" r:id="rId1"/>
    <sheet name="Atenuación tomas" sheetId="2" r:id="rId2"/>
    <sheet name="Resumen Atenuación tom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2" i="3" l="1"/>
  <c r="F232" i="3"/>
  <c r="G222" i="3"/>
  <c r="F222" i="3"/>
  <c r="G212" i="3"/>
  <c r="F212" i="3"/>
  <c r="G202" i="3"/>
  <c r="F202" i="3"/>
  <c r="G192" i="3"/>
  <c r="F192" i="3"/>
  <c r="G181" i="3"/>
  <c r="F181" i="3"/>
  <c r="G171" i="3"/>
  <c r="F171" i="3"/>
  <c r="G161" i="3"/>
  <c r="F161" i="3"/>
  <c r="G151" i="3"/>
  <c r="F151" i="3"/>
  <c r="G140" i="3"/>
  <c r="F140" i="3"/>
  <c r="G130" i="3"/>
  <c r="F130" i="3"/>
  <c r="G120" i="3"/>
  <c r="F120" i="3"/>
  <c r="G110" i="3"/>
  <c r="F110" i="3"/>
  <c r="G100" i="3"/>
  <c r="F100" i="3"/>
  <c r="G232" i="2"/>
  <c r="F232" i="2"/>
  <c r="G222" i="2"/>
  <c r="F222" i="2"/>
  <c r="G212" i="2"/>
  <c r="F212" i="2"/>
  <c r="G202" i="2"/>
  <c r="F202" i="2"/>
  <c r="G192" i="2"/>
  <c r="F192" i="2"/>
  <c r="G181" i="2"/>
  <c r="F181" i="2"/>
  <c r="G171" i="2"/>
  <c r="F171" i="2"/>
  <c r="G161" i="2"/>
  <c r="F161" i="2"/>
  <c r="G151" i="2"/>
  <c r="F151" i="2"/>
  <c r="G140" i="2"/>
  <c r="F140" i="2"/>
  <c r="G130" i="2"/>
  <c r="F130" i="2"/>
  <c r="G120" i="2"/>
  <c r="F120" i="2"/>
  <c r="G110" i="2"/>
  <c r="F110" i="2"/>
  <c r="G100" i="2"/>
  <c r="F100" i="2"/>
  <c r="G608" i="3"/>
  <c r="F608" i="3"/>
  <c r="G607" i="3"/>
  <c r="F607" i="3"/>
  <c r="E607" i="3"/>
  <c r="G606" i="3"/>
  <c r="F606" i="3"/>
  <c r="G605" i="3"/>
  <c r="E605" i="3"/>
  <c r="F605" i="3" s="1"/>
  <c r="G604" i="3"/>
  <c r="F604" i="3"/>
  <c r="G603" i="3"/>
  <c r="F603" i="3"/>
  <c r="E603" i="3"/>
  <c r="G602" i="3"/>
  <c r="F602" i="3"/>
  <c r="E601" i="3"/>
  <c r="F601" i="3" s="1"/>
  <c r="G600" i="3"/>
  <c r="F600" i="3"/>
  <c r="F599" i="3"/>
  <c r="E599" i="3"/>
  <c r="G599" i="3" s="1"/>
  <c r="G598" i="3"/>
  <c r="F598" i="3"/>
  <c r="E597" i="3"/>
  <c r="G594" i="3"/>
  <c r="F594" i="3"/>
  <c r="G593" i="3"/>
  <c r="F593" i="3"/>
  <c r="E593" i="3"/>
  <c r="G592" i="3"/>
  <c r="F592" i="3"/>
  <c r="F591" i="3"/>
  <c r="E591" i="3"/>
  <c r="G591" i="3" s="1"/>
  <c r="G590" i="3"/>
  <c r="F590" i="3"/>
  <c r="E589" i="3"/>
  <c r="G589" i="3" s="1"/>
  <c r="G588" i="3"/>
  <c r="F588" i="3"/>
  <c r="E587" i="3"/>
  <c r="G587" i="3" s="1"/>
  <c r="G586" i="3"/>
  <c r="F586" i="3"/>
  <c r="E585" i="3"/>
  <c r="G585" i="3" s="1"/>
  <c r="G584" i="3"/>
  <c r="F584" i="3"/>
  <c r="E583" i="3"/>
  <c r="G580" i="3"/>
  <c r="F580" i="3"/>
  <c r="E579" i="3"/>
  <c r="G579" i="3" s="1"/>
  <c r="G578" i="3"/>
  <c r="F578" i="3"/>
  <c r="E577" i="3"/>
  <c r="F577" i="3" s="1"/>
  <c r="G576" i="3"/>
  <c r="F576" i="3"/>
  <c r="F575" i="3"/>
  <c r="E575" i="3"/>
  <c r="G575" i="3" s="1"/>
  <c r="G574" i="3"/>
  <c r="F574" i="3"/>
  <c r="E573" i="3"/>
  <c r="G573" i="3" s="1"/>
  <c r="G572" i="3"/>
  <c r="F572" i="3"/>
  <c r="E571" i="3"/>
  <c r="G571" i="3" s="1"/>
  <c r="G570" i="3"/>
  <c r="F570" i="3"/>
  <c r="E569" i="3"/>
  <c r="G566" i="3"/>
  <c r="F566" i="3"/>
  <c r="G565" i="3"/>
  <c r="F565" i="3"/>
  <c r="E565" i="3"/>
  <c r="G564" i="3"/>
  <c r="F564" i="3"/>
  <c r="E563" i="3"/>
  <c r="F563" i="3" s="1"/>
  <c r="G562" i="3"/>
  <c r="F562" i="3"/>
  <c r="F561" i="3"/>
  <c r="E561" i="3"/>
  <c r="G561" i="3" s="1"/>
  <c r="G560" i="3"/>
  <c r="F560" i="3"/>
  <c r="E559" i="3"/>
  <c r="G559" i="3" s="1"/>
  <c r="G558" i="3"/>
  <c r="F558" i="3"/>
  <c r="G557" i="3"/>
  <c r="F557" i="3"/>
  <c r="E557" i="3"/>
  <c r="G556" i="3"/>
  <c r="F556" i="3"/>
  <c r="E555" i="3"/>
  <c r="G552" i="3"/>
  <c r="F552" i="3"/>
  <c r="G551" i="3"/>
  <c r="F551" i="3"/>
  <c r="E551" i="3"/>
  <c r="G550" i="3"/>
  <c r="F550" i="3"/>
  <c r="F549" i="3"/>
  <c r="E549" i="3"/>
  <c r="G549" i="3" s="1"/>
  <c r="G548" i="3"/>
  <c r="F548" i="3"/>
  <c r="E547" i="3"/>
  <c r="G547" i="3" s="1"/>
  <c r="G546" i="3"/>
  <c r="F546" i="3"/>
  <c r="E545" i="3"/>
  <c r="G545" i="3" s="1"/>
  <c r="G544" i="3"/>
  <c r="F544" i="3"/>
  <c r="G543" i="3"/>
  <c r="F543" i="3"/>
  <c r="E543" i="3"/>
  <c r="G542" i="3"/>
  <c r="F542" i="3"/>
  <c r="E541" i="3"/>
  <c r="G537" i="3"/>
  <c r="F537" i="3"/>
  <c r="G536" i="3"/>
  <c r="F536" i="3"/>
  <c r="E536" i="3"/>
  <c r="G535" i="3"/>
  <c r="F535" i="3"/>
  <c r="G534" i="3"/>
  <c r="E534" i="3"/>
  <c r="F534" i="3" s="1"/>
  <c r="G533" i="3"/>
  <c r="F533" i="3"/>
  <c r="F532" i="3"/>
  <c r="E532" i="3"/>
  <c r="G532" i="3" s="1"/>
  <c r="G531" i="3"/>
  <c r="F531" i="3"/>
  <c r="E530" i="3"/>
  <c r="F530" i="3" s="1"/>
  <c r="G529" i="3"/>
  <c r="F529" i="3"/>
  <c r="G528" i="3"/>
  <c r="F528" i="3"/>
  <c r="E528" i="3"/>
  <c r="G527" i="3"/>
  <c r="F527" i="3"/>
  <c r="E526" i="3"/>
  <c r="G523" i="3"/>
  <c r="F523" i="3"/>
  <c r="G522" i="3"/>
  <c r="F522" i="3"/>
  <c r="E522" i="3"/>
  <c r="G521" i="3"/>
  <c r="F521" i="3"/>
  <c r="G520" i="3"/>
  <c r="E520" i="3"/>
  <c r="F520" i="3" s="1"/>
  <c r="G519" i="3"/>
  <c r="F519" i="3"/>
  <c r="E518" i="3"/>
  <c r="G518" i="3" s="1"/>
  <c r="G517" i="3"/>
  <c r="F517" i="3"/>
  <c r="E516" i="3"/>
  <c r="G516" i="3" s="1"/>
  <c r="G515" i="3"/>
  <c r="F515" i="3"/>
  <c r="E514" i="3"/>
  <c r="G514" i="3" s="1"/>
  <c r="G513" i="3"/>
  <c r="F513" i="3"/>
  <c r="E512" i="3"/>
  <c r="G509" i="3"/>
  <c r="F509" i="3"/>
  <c r="E508" i="3"/>
  <c r="G508" i="3" s="1"/>
  <c r="G507" i="3"/>
  <c r="F507" i="3"/>
  <c r="G506" i="3"/>
  <c r="E506" i="3"/>
  <c r="F506" i="3" s="1"/>
  <c r="G505" i="3"/>
  <c r="F505" i="3"/>
  <c r="E504" i="3"/>
  <c r="G504" i="3" s="1"/>
  <c r="G503" i="3"/>
  <c r="F503" i="3"/>
  <c r="E502" i="3"/>
  <c r="G502" i="3" s="1"/>
  <c r="G501" i="3"/>
  <c r="F501" i="3"/>
  <c r="E500" i="3"/>
  <c r="G500" i="3" s="1"/>
  <c r="G499" i="3"/>
  <c r="F499" i="3"/>
  <c r="E498" i="3"/>
  <c r="G495" i="3"/>
  <c r="F495" i="3"/>
  <c r="E494" i="3"/>
  <c r="G494" i="3" s="1"/>
  <c r="G493" i="3"/>
  <c r="F493" i="3"/>
  <c r="G492" i="3"/>
  <c r="F492" i="3"/>
  <c r="E492" i="3"/>
  <c r="G491" i="3"/>
  <c r="F491" i="3"/>
  <c r="G490" i="3"/>
  <c r="E490" i="3"/>
  <c r="F490" i="3" s="1"/>
  <c r="G489" i="3"/>
  <c r="F489" i="3"/>
  <c r="E488" i="3"/>
  <c r="F488" i="3" s="1"/>
  <c r="G487" i="3"/>
  <c r="F487" i="3"/>
  <c r="F486" i="3"/>
  <c r="E486" i="3"/>
  <c r="G486" i="3" s="1"/>
  <c r="G485" i="3"/>
  <c r="F485" i="3"/>
  <c r="E484" i="3"/>
  <c r="G480" i="3"/>
  <c r="F480" i="3"/>
  <c r="G479" i="3"/>
  <c r="F479" i="3"/>
  <c r="E479" i="3"/>
  <c r="G478" i="3"/>
  <c r="F478" i="3"/>
  <c r="G477" i="3"/>
  <c r="F477" i="3"/>
  <c r="E477" i="3"/>
  <c r="G476" i="3"/>
  <c r="F476" i="3"/>
  <c r="F475" i="3"/>
  <c r="E475" i="3"/>
  <c r="G475" i="3" s="1"/>
  <c r="G474" i="3"/>
  <c r="F474" i="3"/>
  <c r="E473" i="3"/>
  <c r="G473" i="3" s="1"/>
  <c r="G472" i="3"/>
  <c r="F472" i="3"/>
  <c r="F471" i="3"/>
  <c r="E471" i="3"/>
  <c r="G471" i="3" s="1"/>
  <c r="G470" i="3"/>
  <c r="F470" i="3"/>
  <c r="E469" i="3"/>
  <c r="G466" i="3"/>
  <c r="F466" i="3"/>
  <c r="F465" i="3"/>
  <c r="E465" i="3"/>
  <c r="G465" i="3" s="1"/>
  <c r="G464" i="3"/>
  <c r="F464" i="3"/>
  <c r="G463" i="3"/>
  <c r="F463" i="3"/>
  <c r="E463" i="3"/>
  <c r="G462" i="3"/>
  <c r="F462" i="3"/>
  <c r="F461" i="3"/>
  <c r="E461" i="3"/>
  <c r="G461" i="3" s="1"/>
  <c r="G460" i="3"/>
  <c r="F460" i="3"/>
  <c r="E459" i="3"/>
  <c r="F459" i="3" s="1"/>
  <c r="G458" i="3"/>
  <c r="F458" i="3"/>
  <c r="G457" i="3"/>
  <c r="E457" i="3"/>
  <c r="F457" i="3" s="1"/>
  <c r="G456" i="3"/>
  <c r="F456" i="3"/>
  <c r="E455" i="3"/>
  <c r="G452" i="3"/>
  <c r="F452" i="3"/>
  <c r="G451" i="3"/>
  <c r="F451" i="3"/>
  <c r="E451" i="3"/>
  <c r="G450" i="3"/>
  <c r="F450" i="3"/>
  <c r="G449" i="3"/>
  <c r="E449" i="3"/>
  <c r="F449" i="3" s="1"/>
  <c r="G448" i="3"/>
  <c r="F448" i="3"/>
  <c r="F447" i="3"/>
  <c r="E447" i="3"/>
  <c r="G447" i="3" s="1"/>
  <c r="G446" i="3"/>
  <c r="F446" i="3"/>
  <c r="E445" i="3"/>
  <c r="F445" i="3" s="1"/>
  <c r="G444" i="3"/>
  <c r="F444" i="3"/>
  <c r="G443" i="3"/>
  <c r="F443" i="3"/>
  <c r="E443" i="3"/>
  <c r="G442" i="3"/>
  <c r="F442" i="3"/>
  <c r="E441" i="3"/>
  <c r="G438" i="3"/>
  <c r="F438" i="3"/>
  <c r="G437" i="3"/>
  <c r="F437" i="3"/>
  <c r="E437" i="3"/>
  <c r="G436" i="3"/>
  <c r="F436" i="3"/>
  <c r="E435" i="3"/>
  <c r="G435" i="3" s="1"/>
  <c r="G434" i="3"/>
  <c r="F434" i="3"/>
  <c r="F433" i="3"/>
  <c r="E433" i="3"/>
  <c r="G433" i="3" s="1"/>
  <c r="G432" i="3"/>
  <c r="F432" i="3"/>
  <c r="E431" i="3"/>
  <c r="F431" i="3" s="1"/>
  <c r="G430" i="3"/>
  <c r="F430" i="3"/>
  <c r="G429" i="3"/>
  <c r="F429" i="3"/>
  <c r="E429" i="3"/>
  <c r="G428" i="3"/>
  <c r="F428" i="3"/>
  <c r="E427" i="3"/>
  <c r="G424" i="3"/>
  <c r="F424" i="3"/>
  <c r="G423" i="3"/>
  <c r="F423" i="3"/>
  <c r="E423" i="3"/>
  <c r="G422" i="3"/>
  <c r="F422" i="3"/>
  <c r="G421" i="3"/>
  <c r="F421" i="3"/>
  <c r="E421" i="3"/>
  <c r="G420" i="3"/>
  <c r="F420" i="3"/>
  <c r="F419" i="3"/>
  <c r="E419" i="3"/>
  <c r="G419" i="3" s="1"/>
  <c r="G418" i="3"/>
  <c r="F418" i="3"/>
  <c r="E417" i="3"/>
  <c r="F417" i="3" s="1"/>
  <c r="G416" i="3"/>
  <c r="F416" i="3"/>
  <c r="F415" i="3"/>
  <c r="E415" i="3"/>
  <c r="G415" i="3" s="1"/>
  <c r="G414" i="3"/>
  <c r="F414" i="3"/>
  <c r="E413" i="3"/>
  <c r="G408" i="3"/>
  <c r="F408" i="3"/>
  <c r="G407" i="3"/>
  <c r="F407" i="3"/>
  <c r="E407" i="3"/>
  <c r="G406" i="3"/>
  <c r="F406" i="3"/>
  <c r="G405" i="3"/>
  <c r="F405" i="3"/>
  <c r="E405" i="3"/>
  <c r="G404" i="3"/>
  <c r="F404" i="3"/>
  <c r="G403" i="3"/>
  <c r="F403" i="3"/>
  <c r="E403" i="3"/>
  <c r="G402" i="3"/>
  <c r="F402" i="3"/>
  <c r="E401" i="3"/>
  <c r="F401" i="3" s="1"/>
  <c r="G400" i="3"/>
  <c r="F400" i="3"/>
  <c r="G399" i="3"/>
  <c r="F399" i="3"/>
  <c r="F409" i="3" s="1"/>
  <c r="E399" i="3"/>
  <c r="G396" i="3"/>
  <c r="F396" i="3"/>
  <c r="E395" i="3"/>
  <c r="F395" i="3" s="1"/>
  <c r="G394" i="3"/>
  <c r="F394" i="3"/>
  <c r="G393" i="3"/>
  <c r="E393" i="3"/>
  <c r="F393" i="3" s="1"/>
  <c r="G392" i="3"/>
  <c r="F392" i="3"/>
  <c r="G391" i="3"/>
  <c r="E391" i="3"/>
  <c r="F391" i="3" s="1"/>
  <c r="G390" i="3"/>
  <c r="F390" i="3"/>
  <c r="E389" i="3"/>
  <c r="G389" i="3" s="1"/>
  <c r="G388" i="3"/>
  <c r="F388" i="3"/>
  <c r="E387" i="3"/>
  <c r="G387" i="3" s="1"/>
  <c r="G384" i="3"/>
  <c r="F384" i="3"/>
  <c r="E383" i="3"/>
  <c r="G383" i="3" s="1"/>
  <c r="G382" i="3"/>
  <c r="F382" i="3"/>
  <c r="G381" i="3"/>
  <c r="E381" i="3"/>
  <c r="F381" i="3" s="1"/>
  <c r="G380" i="3"/>
  <c r="F380" i="3"/>
  <c r="G379" i="3"/>
  <c r="F379" i="3"/>
  <c r="E379" i="3"/>
  <c r="G378" i="3"/>
  <c r="F378" i="3"/>
  <c r="F377" i="3"/>
  <c r="E377" i="3"/>
  <c r="G377" i="3" s="1"/>
  <c r="G376" i="3"/>
  <c r="F376" i="3"/>
  <c r="E375" i="3"/>
  <c r="G375" i="3" s="1"/>
  <c r="G372" i="3"/>
  <c r="F372" i="3"/>
  <c r="E371" i="3"/>
  <c r="G370" i="3"/>
  <c r="F370" i="3"/>
  <c r="E369" i="3"/>
  <c r="G369" i="3" s="1"/>
  <c r="G368" i="3"/>
  <c r="F368" i="3"/>
  <c r="G367" i="3"/>
  <c r="E367" i="3"/>
  <c r="F367" i="3" s="1"/>
  <c r="G366" i="3"/>
  <c r="F366" i="3"/>
  <c r="G365" i="3"/>
  <c r="F365" i="3"/>
  <c r="E365" i="3"/>
  <c r="G364" i="3"/>
  <c r="F364" i="3"/>
  <c r="G363" i="3"/>
  <c r="F363" i="3"/>
  <c r="E363" i="3"/>
  <c r="G360" i="3"/>
  <c r="F360" i="3"/>
  <c r="E359" i="3"/>
  <c r="G359" i="3" s="1"/>
  <c r="G358" i="3"/>
  <c r="F358" i="3"/>
  <c r="E357" i="3"/>
  <c r="G356" i="3"/>
  <c r="F356" i="3"/>
  <c r="E355" i="3"/>
  <c r="G355" i="3" s="1"/>
  <c r="G354" i="3"/>
  <c r="F354" i="3"/>
  <c r="E353" i="3"/>
  <c r="G353" i="3" s="1"/>
  <c r="G352" i="3"/>
  <c r="F352" i="3"/>
  <c r="G351" i="3"/>
  <c r="E351" i="3"/>
  <c r="F351" i="3" s="1"/>
  <c r="G347" i="3"/>
  <c r="F347" i="3"/>
  <c r="E346" i="3"/>
  <c r="G346" i="3" s="1"/>
  <c r="G345" i="3"/>
  <c r="F345" i="3"/>
  <c r="E344" i="3"/>
  <c r="G344" i="3" s="1"/>
  <c r="G343" i="3"/>
  <c r="F343" i="3"/>
  <c r="E342" i="3"/>
  <c r="G341" i="3"/>
  <c r="F341" i="3"/>
  <c r="E340" i="3"/>
  <c r="G340" i="3" s="1"/>
  <c r="G339" i="3"/>
  <c r="F339" i="3"/>
  <c r="E338" i="3"/>
  <c r="F338" i="3" s="1"/>
  <c r="G335" i="3"/>
  <c r="F335" i="3"/>
  <c r="F334" i="3"/>
  <c r="E334" i="3"/>
  <c r="G334" i="3" s="1"/>
  <c r="G333" i="3"/>
  <c r="F333" i="3"/>
  <c r="E332" i="3"/>
  <c r="G332" i="3" s="1"/>
  <c r="G331" i="3"/>
  <c r="F331" i="3"/>
  <c r="E330" i="3"/>
  <c r="G330" i="3" s="1"/>
  <c r="G329" i="3"/>
  <c r="F329" i="3"/>
  <c r="E328" i="3"/>
  <c r="G327" i="3"/>
  <c r="F327" i="3"/>
  <c r="E326" i="3"/>
  <c r="G326" i="3" s="1"/>
  <c r="G323" i="3"/>
  <c r="F323" i="3"/>
  <c r="E322" i="3"/>
  <c r="G322" i="3" s="1"/>
  <c r="G321" i="3"/>
  <c r="F321" i="3"/>
  <c r="E320" i="3"/>
  <c r="G320" i="3" s="1"/>
  <c r="G319" i="3"/>
  <c r="F319" i="3"/>
  <c r="E318" i="3"/>
  <c r="G318" i="3" s="1"/>
  <c r="G317" i="3"/>
  <c r="F317" i="3"/>
  <c r="E316" i="3"/>
  <c r="G316" i="3" s="1"/>
  <c r="G315" i="3"/>
  <c r="F315" i="3"/>
  <c r="E314" i="3"/>
  <c r="G311" i="3"/>
  <c r="F311" i="3"/>
  <c r="E310" i="3"/>
  <c r="G310" i="3" s="1"/>
  <c r="G309" i="3"/>
  <c r="F309" i="3"/>
  <c r="G308" i="3"/>
  <c r="E308" i="3"/>
  <c r="F308" i="3" s="1"/>
  <c r="G307" i="3"/>
  <c r="F307" i="3"/>
  <c r="F306" i="3"/>
  <c r="E306" i="3"/>
  <c r="G306" i="3" s="1"/>
  <c r="G305" i="3"/>
  <c r="F305" i="3"/>
  <c r="E304" i="3"/>
  <c r="F304" i="3" s="1"/>
  <c r="G303" i="3"/>
  <c r="F303" i="3"/>
  <c r="F302" i="3"/>
  <c r="E302" i="3"/>
  <c r="G302" i="3" s="1"/>
  <c r="G298" i="3"/>
  <c r="F298" i="3"/>
  <c r="G297" i="3"/>
  <c r="E297" i="3"/>
  <c r="F297" i="3" s="1"/>
  <c r="G296" i="3"/>
  <c r="F296" i="3"/>
  <c r="G295" i="3"/>
  <c r="F295" i="3"/>
  <c r="E295" i="3"/>
  <c r="G294" i="3"/>
  <c r="F294" i="3"/>
  <c r="E293" i="3"/>
  <c r="G293" i="3" s="1"/>
  <c r="G292" i="3"/>
  <c r="F292" i="3"/>
  <c r="F291" i="3"/>
  <c r="E291" i="3"/>
  <c r="G291" i="3" s="1"/>
  <c r="G290" i="3"/>
  <c r="F290" i="3"/>
  <c r="E289" i="3"/>
  <c r="F289" i="3" s="1"/>
  <c r="G286" i="3"/>
  <c r="F286" i="3"/>
  <c r="E285" i="3"/>
  <c r="G285" i="3" s="1"/>
  <c r="G284" i="3"/>
  <c r="F284" i="3"/>
  <c r="F283" i="3"/>
  <c r="E283" i="3"/>
  <c r="G283" i="3" s="1"/>
  <c r="G282" i="3"/>
  <c r="F282" i="3"/>
  <c r="G281" i="3"/>
  <c r="F281" i="3"/>
  <c r="E281" i="3"/>
  <c r="G280" i="3"/>
  <c r="F280" i="3"/>
  <c r="E279" i="3"/>
  <c r="G279" i="3" s="1"/>
  <c r="G278" i="3"/>
  <c r="F278" i="3"/>
  <c r="G277" i="3"/>
  <c r="F277" i="3"/>
  <c r="E277" i="3"/>
  <c r="G274" i="3"/>
  <c r="F274" i="3"/>
  <c r="E273" i="3"/>
  <c r="G272" i="3"/>
  <c r="F272" i="3"/>
  <c r="E271" i="3"/>
  <c r="G271" i="3" s="1"/>
  <c r="G270" i="3"/>
  <c r="F270" i="3"/>
  <c r="E269" i="3"/>
  <c r="F269" i="3" s="1"/>
  <c r="G268" i="3"/>
  <c r="F268" i="3"/>
  <c r="E267" i="3"/>
  <c r="G267" i="3" s="1"/>
  <c r="G266" i="3"/>
  <c r="F266" i="3"/>
  <c r="G265" i="3"/>
  <c r="E265" i="3"/>
  <c r="F265" i="3" s="1"/>
  <c r="G262" i="3"/>
  <c r="F262" i="3"/>
  <c r="G261" i="3"/>
  <c r="F261" i="3"/>
  <c r="E261" i="3"/>
  <c r="G260" i="3"/>
  <c r="F260" i="3"/>
  <c r="E259" i="3"/>
  <c r="G258" i="3"/>
  <c r="F258" i="3"/>
  <c r="E257" i="3"/>
  <c r="G257" i="3" s="1"/>
  <c r="G256" i="3"/>
  <c r="F256" i="3"/>
  <c r="F255" i="3"/>
  <c r="E255" i="3"/>
  <c r="G255" i="3" s="1"/>
  <c r="G254" i="3"/>
  <c r="F254" i="3"/>
  <c r="G253" i="3"/>
  <c r="F253" i="3"/>
  <c r="E253" i="3"/>
  <c r="G250" i="3"/>
  <c r="F250" i="3"/>
  <c r="E249" i="3"/>
  <c r="G249" i="3" s="1"/>
  <c r="G248" i="3"/>
  <c r="F248" i="3"/>
  <c r="E247" i="3"/>
  <c r="F247" i="3" s="1"/>
  <c r="G246" i="3"/>
  <c r="F246" i="3"/>
  <c r="E245" i="3"/>
  <c r="G244" i="3"/>
  <c r="F244" i="3"/>
  <c r="E243" i="3"/>
  <c r="G243" i="3" s="1"/>
  <c r="G242" i="3"/>
  <c r="F242" i="3"/>
  <c r="E241" i="3"/>
  <c r="G241" i="3" s="1"/>
  <c r="G236" i="3"/>
  <c r="F236" i="3"/>
  <c r="E235" i="3"/>
  <c r="G235" i="3" s="1"/>
  <c r="G234" i="3"/>
  <c r="F234" i="3"/>
  <c r="E233" i="3"/>
  <c r="F233" i="3" s="1"/>
  <c r="E231" i="3"/>
  <c r="G231" i="3" s="1"/>
  <c r="G230" i="3"/>
  <c r="F230" i="3"/>
  <c r="E229" i="3"/>
  <c r="G226" i="3"/>
  <c r="F226" i="3"/>
  <c r="E225" i="3"/>
  <c r="G225" i="3" s="1"/>
  <c r="G224" i="3"/>
  <c r="F224" i="3"/>
  <c r="E223" i="3"/>
  <c r="F223" i="3" s="1"/>
  <c r="F221" i="3"/>
  <c r="E221" i="3"/>
  <c r="G221" i="3" s="1"/>
  <c r="G220" i="3"/>
  <c r="F220" i="3"/>
  <c r="E219" i="3"/>
  <c r="G219" i="3" s="1"/>
  <c r="G216" i="3"/>
  <c r="F216" i="3"/>
  <c r="E215" i="3"/>
  <c r="G215" i="3" s="1"/>
  <c r="G214" i="3"/>
  <c r="F214" i="3"/>
  <c r="E213" i="3"/>
  <c r="F213" i="3" s="1"/>
  <c r="F211" i="3"/>
  <c r="E211" i="3"/>
  <c r="G211" i="3" s="1"/>
  <c r="G210" i="3"/>
  <c r="F210" i="3"/>
  <c r="G209" i="3"/>
  <c r="E209" i="3"/>
  <c r="F209" i="3" s="1"/>
  <c r="G206" i="3"/>
  <c r="F206" i="3"/>
  <c r="G205" i="3"/>
  <c r="F205" i="3"/>
  <c r="E205" i="3"/>
  <c r="G204" i="3"/>
  <c r="F204" i="3"/>
  <c r="E203" i="3"/>
  <c r="E201" i="3"/>
  <c r="G201" i="3" s="1"/>
  <c r="G200" i="3"/>
  <c r="F200" i="3"/>
  <c r="G199" i="3"/>
  <c r="E199" i="3"/>
  <c r="F199" i="3" s="1"/>
  <c r="G196" i="3"/>
  <c r="F196" i="3"/>
  <c r="F195" i="3"/>
  <c r="E195" i="3"/>
  <c r="G195" i="3" s="1"/>
  <c r="G194" i="3"/>
  <c r="F194" i="3"/>
  <c r="E193" i="3"/>
  <c r="F193" i="3" s="1"/>
  <c r="E191" i="3"/>
  <c r="G191" i="3" s="1"/>
  <c r="G190" i="3"/>
  <c r="F190" i="3"/>
  <c r="E189" i="3"/>
  <c r="G185" i="3"/>
  <c r="F185" i="3"/>
  <c r="E184" i="3"/>
  <c r="G184" i="3" s="1"/>
  <c r="G183" i="3"/>
  <c r="F183" i="3"/>
  <c r="E182" i="3"/>
  <c r="G182" i="3" s="1"/>
  <c r="E180" i="3"/>
  <c r="G180" i="3" s="1"/>
  <c r="G179" i="3"/>
  <c r="F179" i="3"/>
  <c r="E178" i="3"/>
  <c r="F178" i="3" s="1"/>
  <c r="G175" i="3"/>
  <c r="F175" i="3"/>
  <c r="E174" i="3"/>
  <c r="G174" i="3" s="1"/>
  <c r="G173" i="3"/>
  <c r="F173" i="3"/>
  <c r="G172" i="3"/>
  <c r="E172" i="3"/>
  <c r="F172" i="3" s="1"/>
  <c r="G170" i="3"/>
  <c r="F170" i="3"/>
  <c r="E170" i="3"/>
  <c r="G169" i="3"/>
  <c r="F169" i="3"/>
  <c r="G168" i="3"/>
  <c r="F168" i="3"/>
  <c r="E168" i="3"/>
  <c r="G165" i="3"/>
  <c r="F165" i="3"/>
  <c r="E164" i="3"/>
  <c r="G164" i="3" s="1"/>
  <c r="G163" i="3"/>
  <c r="F163" i="3"/>
  <c r="E162" i="3"/>
  <c r="E160" i="3"/>
  <c r="G160" i="3" s="1"/>
  <c r="G159" i="3"/>
  <c r="F159" i="3"/>
  <c r="G158" i="3"/>
  <c r="F158" i="3"/>
  <c r="E158" i="3"/>
  <c r="G155" i="3"/>
  <c r="F155" i="3"/>
  <c r="F154" i="3"/>
  <c r="E154" i="3"/>
  <c r="G154" i="3" s="1"/>
  <c r="G153" i="3"/>
  <c r="F153" i="3"/>
  <c r="E152" i="3"/>
  <c r="F152" i="3" s="1"/>
  <c r="F150" i="3"/>
  <c r="E150" i="3"/>
  <c r="G150" i="3" s="1"/>
  <c r="G149" i="3"/>
  <c r="F149" i="3"/>
  <c r="E148" i="3"/>
  <c r="G144" i="3"/>
  <c r="F144" i="3"/>
  <c r="G143" i="3"/>
  <c r="F143" i="3"/>
  <c r="E143" i="3"/>
  <c r="G142" i="3"/>
  <c r="F142" i="3"/>
  <c r="F141" i="3"/>
  <c r="E141" i="3"/>
  <c r="G141" i="3" s="1"/>
  <c r="G139" i="3"/>
  <c r="E139" i="3"/>
  <c r="F139" i="3" s="1"/>
  <c r="G138" i="3"/>
  <c r="F138" i="3"/>
  <c r="E137" i="3"/>
  <c r="G137" i="3" s="1"/>
  <c r="G134" i="3"/>
  <c r="F134" i="3"/>
  <c r="E133" i="3"/>
  <c r="G133" i="3" s="1"/>
  <c r="G132" i="3"/>
  <c r="F132" i="3"/>
  <c r="G131" i="3"/>
  <c r="E131" i="3"/>
  <c r="F131" i="3" s="1"/>
  <c r="G129" i="3"/>
  <c r="F129" i="3"/>
  <c r="E129" i="3"/>
  <c r="G128" i="3"/>
  <c r="F128" i="3"/>
  <c r="E127" i="3"/>
  <c r="G127" i="3" s="1"/>
  <c r="G124" i="3"/>
  <c r="F124" i="3"/>
  <c r="E123" i="3"/>
  <c r="G123" i="3" s="1"/>
  <c r="G122" i="3"/>
  <c r="F122" i="3"/>
  <c r="E121" i="3"/>
  <c r="E119" i="3"/>
  <c r="G119" i="3" s="1"/>
  <c r="G118" i="3"/>
  <c r="F118" i="3"/>
  <c r="E117" i="3"/>
  <c r="G117" i="3" s="1"/>
  <c r="G114" i="3"/>
  <c r="F114" i="3"/>
  <c r="G113" i="3"/>
  <c r="E113" i="3"/>
  <c r="F113" i="3" s="1"/>
  <c r="G112" i="3"/>
  <c r="F112" i="3"/>
  <c r="E111" i="3"/>
  <c r="F111" i="3" s="1"/>
  <c r="E109" i="3"/>
  <c r="G109" i="3" s="1"/>
  <c r="G108" i="3"/>
  <c r="F108" i="3"/>
  <c r="E107" i="3"/>
  <c r="G104" i="3"/>
  <c r="F104" i="3"/>
  <c r="E103" i="3"/>
  <c r="G103" i="3" s="1"/>
  <c r="G102" i="3"/>
  <c r="F102" i="3"/>
  <c r="E101" i="3"/>
  <c r="G101" i="3" s="1"/>
  <c r="F99" i="3"/>
  <c r="E99" i="3"/>
  <c r="G99" i="3" s="1"/>
  <c r="G98" i="3"/>
  <c r="F98" i="3"/>
  <c r="E97" i="3"/>
  <c r="F97" i="3" s="1"/>
  <c r="G92" i="3"/>
  <c r="F92" i="3"/>
  <c r="E91" i="3"/>
  <c r="G91" i="3" s="1"/>
  <c r="G90" i="3"/>
  <c r="F90" i="3"/>
  <c r="E89" i="3"/>
  <c r="G89" i="3" s="1"/>
  <c r="G88" i="3"/>
  <c r="F88" i="3"/>
  <c r="G87" i="3"/>
  <c r="F87" i="3"/>
  <c r="E87" i="3"/>
  <c r="G84" i="3"/>
  <c r="F84" i="3"/>
  <c r="E83" i="3"/>
  <c r="G83" i="3" s="1"/>
  <c r="G82" i="3"/>
  <c r="F82" i="3"/>
  <c r="G81" i="3"/>
  <c r="F81" i="3"/>
  <c r="E81" i="3"/>
  <c r="G80" i="3"/>
  <c r="F80" i="3"/>
  <c r="E79" i="3"/>
  <c r="G76" i="3"/>
  <c r="F76" i="3"/>
  <c r="G75" i="3"/>
  <c r="F75" i="3"/>
  <c r="E75" i="3"/>
  <c r="G74" i="3"/>
  <c r="F74" i="3"/>
  <c r="G73" i="3"/>
  <c r="E73" i="3"/>
  <c r="F73" i="3" s="1"/>
  <c r="G72" i="3"/>
  <c r="F72" i="3"/>
  <c r="F71" i="3"/>
  <c r="E71" i="3"/>
  <c r="G71" i="3" s="1"/>
  <c r="G68" i="3"/>
  <c r="F68" i="3"/>
  <c r="E67" i="3"/>
  <c r="G66" i="3"/>
  <c r="F66" i="3"/>
  <c r="E65" i="3"/>
  <c r="G65" i="3" s="1"/>
  <c r="G64" i="3"/>
  <c r="F64" i="3"/>
  <c r="G63" i="3"/>
  <c r="E63" i="3"/>
  <c r="F63" i="3" s="1"/>
  <c r="G59" i="3"/>
  <c r="F59" i="3"/>
  <c r="G58" i="3"/>
  <c r="F58" i="3"/>
  <c r="E58" i="3"/>
  <c r="G57" i="3"/>
  <c r="F57" i="3"/>
  <c r="E56" i="3"/>
  <c r="G56" i="3" s="1"/>
  <c r="G55" i="3"/>
  <c r="F55" i="3"/>
  <c r="E54" i="3"/>
  <c r="G54" i="3" s="1"/>
  <c r="G51" i="3"/>
  <c r="F51" i="3"/>
  <c r="E50" i="3"/>
  <c r="G50" i="3" s="1"/>
  <c r="G49" i="3"/>
  <c r="F49" i="3"/>
  <c r="G48" i="3"/>
  <c r="F48" i="3"/>
  <c r="E48" i="3"/>
  <c r="G47" i="3"/>
  <c r="F47" i="3"/>
  <c r="E46" i="3"/>
  <c r="G46" i="3" s="1"/>
  <c r="G43" i="3"/>
  <c r="F43" i="3"/>
  <c r="G42" i="3"/>
  <c r="F42" i="3"/>
  <c r="E42" i="3"/>
  <c r="G41" i="3"/>
  <c r="F41" i="3"/>
  <c r="E40" i="3"/>
  <c r="G39" i="3"/>
  <c r="F39" i="3"/>
  <c r="E38" i="3"/>
  <c r="G38" i="3" s="1"/>
  <c r="G34" i="3"/>
  <c r="F34" i="3"/>
  <c r="F33" i="3"/>
  <c r="E33" i="3"/>
  <c r="G33" i="3" s="1"/>
  <c r="G32" i="3"/>
  <c r="F32" i="3"/>
  <c r="F31" i="3"/>
  <c r="E31" i="3"/>
  <c r="G31" i="3" s="1"/>
  <c r="G30" i="3"/>
  <c r="F30" i="3"/>
  <c r="E29" i="3"/>
  <c r="G26" i="3"/>
  <c r="F26" i="3"/>
  <c r="E25" i="3"/>
  <c r="G25" i="3" s="1"/>
  <c r="G24" i="3"/>
  <c r="F24" i="3"/>
  <c r="G23" i="3"/>
  <c r="E23" i="3"/>
  <c r="F23" i="3" s="1"/>
  <c r="G22" i="3"/>
  <c r="F22" i="3"/>
  <c r="E21" i="3"/>
  <c r="G21" i="3" s="1"/>
  <c r="G18" i="3"/>
  <c r="F18" i="3"/>
  <c r="E17" i="3"/>
  <c r="G17" i="3" s="1"/>
  <c r="G16" i="3"/>
  <c r="F16" i="3"/>
  <c r="E15" i="3"/>
  <c r="G15" i="3" s="1"/>
  <c r="G14" i="3"/>
  <c r="F14" i="3"/>
  <c r="E13" i="3"/>
  <c r="G10" i="3"/>
  <c r="F10" i="3"/>
  <c r="E9" i="3"/>
  <c r="G9" i="3" s="1"/>
  <c r="G8" i="3"/>
  <c r="F8" i="3"/>
  <c r="G7" i="3"/>
  <c r="E7" i="3"/>
  <c r="F7" i="3" s="1"/>
  <c r="G6" i="3"/>
  <c r="F6" i="3"/>
  <c r="G5" i="3"/>
  <c r="F5" i="3"/>
  <c r="E5" i="3"/>
  <c r="G600" i="2"/>
  <c r="F600" i="2"/>
  <c r="F599" i="2"/>
  <c r="E599" i="2"/>
  <c r="G599" i="2" s="1"/>
  <c r="G586" i="2"/>
  <c r="F586" i="2"/>
  <c r="G585" i="2"/>
  <c r="E585" i="2"/>
  <c r="F585" i="2" s="1"/>
  <c r="G572" i="2"/>
  <c r="F572" i="2"/>
  <c r="G571" i="2"/>
  <c r="E571" i="2"/>
  <c r="F571" i="2" s="1"/>
  <c r="G558" i="2"/>
  <c r="F558" i="2"/>
  <c r="F557" i="2"/>
  <c r="E557" i="2"/>
  <c r="G557" i="2" s="1"/>
  <c r="G544" i="2"/>
  <c r="F544" i="2"/>
  <c r="G543" i="2"/>
  <c r="F543" i="2"/>
  <c r="E543" i="2"/>
  <c r="G604" i="2"/>
  <c r="F604" i="2"/>
  <c r="G590" i="2"/>
  <c r="F590" i="2"/>
  <c r="G576" i="2"/>
  <c r="F576" i="2"/>
  <c r="G562" i="2"/>
  <c r="F562" i="2"/>
  <c r="G548" i="2"/>
  <c r="F548" i="2"/>
  <c r="G608" i="2"/>
  <c r="F608" i="2"/>
  <c r="E607" i="2"/>
  <c r="G607" i="2" s="1"/>
  <c r="G606" i="2"/>
  <c r="F606" i="2"/>
  <c r="E605" i="2"/>
  <c r="G605" i="2" s="1"/>
  <c r="F603" i="2"/>
  <c r="E603" i="2"/>
  <c r="G603" i="2" s="1"/>
  <c r="G602" i="2"/>
  <c r="F602" i="2"/>
  <c r="E601" i="2"/>
  <c r="G601" i="2" s="1"/>
  <c r="G598" i="2"/>
  <c r="F598" i="2"/>
  <c r="E597" i="2"/>
  <c r="F597" i="2" s="1"/>
  <c r="G594" i="2"/>
  <c r="F594" i="2"/>
  <c r="G593" i="2"/>
  <c r="F593" i="2"/>
  <c r="E593" i="2"/>
  <c r="G592" i="2"/>
  <c r="F592" i="2"/>
  <c r="G591" i="2"/>
  <c r="E591" i="2"/>
  <c r="F591" i="2" s="1"/>
  <c r="E589" i="2"/>
  <c r="G589" i="2" s="1"/>
  <c r="G588" i="2"/>
  <c r="F588" i="2"/>
  <c r="E587" i="2"/>
  <c r="G587" i="2" s="1"/>
  <c r="G584" i="2"/>
  <c r="F584" i="2"/>
  <c r="E583" i="2"/>
  <c r="G583" i="2" s="1"/>
  <c r="G580" i="2"/>
  <c r="F580" i="2"/>
  <c r="E579" i="2"/>
  <c r="G579" i="2" s="1"/>
  <c r="G578" i="2"/>
  <c r="F578" i="2"/>
  <c r="E577" i="2"/>
  <c r="G577" i="2" s="1"/>
  <c r="G575" i="2"/>
  <c r="E575" i="2"/>
  <c r="F575" i="2" s="1"/>
  <c r="G574" i="2"/>
  <c r="F574" i="2"/>
  <c r="E573" i="2"/>
  <c r="G573" i="2" s="1"/>
  <c r="G570" i="2"/>
  <c r="F570" i="2"/>
  <c r="F569" i="2"/>
  <c r="E569" i="2"/>
  <c r="G569" i="2" s="1"/>
  <c r="G566" i="2"/>
  <c r="F566" i="2"/>
  <c r="E565" i="2"/>
  <c r="G565" i="2" s="1"/>
  <c r="G564" i="2"/>
  <c r="F564" i="2"/>
  <c r="E563" i="2"/>
  <c r="F563" i="2" s="1"/>
  <c r="G561" i="2"/>
  <c r="F561" i="2"/>
  <c r="E561" i="2"/>
  <c r="G560" i="2"/>
  <c r="F560" i="2"/>
  <c r="E559" i="2"/>
  <c r="F559" i="2" s="1"/>
  <c r="G556" i="2"/>
  <c r="F556" i="2"/>
  <c r="F555" i="2"/>
  <c r="E555" i="2"/>
  <c r="G555" i="2" s="1"/>
  <c r="G552" i="2"/>
  <c r="F552" i="2"/>
  <c r="E551" i="2"/>
  <c r="F551" i="2" s="1"/>
  <c r="G550" i="2"/>
  <c r="F550" i="2"/>
  <c r="E549" i="2"/>
  <c r="G549" i="2" s="1"/>
  <c r="E547" i="2"/>
  <c r="F547" i="2" s="1"/>
  <c r="G546" i="2"/>
  <c r="F546" i="2"/>
  <c r="G545" i="2"/>
  <c r="F545" i="2"/>
  <c r="E545" i="2"/>
  <c r="G542" i="2"/>
  <c r="F542" i="2"/>
  <c r="G541" i="2"/>
  <c r="E541" i="2"/>
  <c r="F541" i="2" s="1"/>
  <c r="G529" i="2"/>
  <c r="F529" i="2"/>
  <c r="E528" i="2"/>
  <c r="G528" i="2" s="1"/>
  <c r="G515" i="2"/>
  <c r="F515" i="2"/>
  <c r="G514" i="2"/>
  <c r="F514" i="2"/>
  <c r="E514" i="2"/>
  <c r="G501" i="2"/>
  <c r="F501" i="2"/>
  <c r="G500" i="2"/>
  <c r="F500" i="2"/>
  <c r="E500" i="2"/>
  <c r="G487" i="2"/>
  <c r="F487" i="2"/>
  <c r="E486" i="2"/>
  <c r="G486" i="2" s="1"/>
  <c r="G533" i="2"/>
  <c r="F533" i="2"/>
  <c r="G519" i="2"/>
  <c r="F519" i="2"/>
  <c r="G505" i="2"/>
  <c r="F505" i="2"/>
  <c r="G491" i="2"/>
  <c r="F491" i="2"/>
  <c r="G537" i="2"/>
  <c r="F537" i="2"/>
  <c r="G536" i="2"/>
  <c r="F536" i="2"/>
  <c r="E536" i="2"/>
  <c r="G535" i="2"/>
  <c r="F535" i="2"/>
  <c r="E534" i="2"/>
  <c r="G534" i="2" s="1"/>
  <c r="E532" i="2"/>
  <c r="G532" i="2" s="1"/>
  <c r="G531" i="2"/>
  <c r="F531" i="2"/>
  <c r="E530" i="2"/>
  <c r="G530" i="2" s="1"/>
  <c r="G527" i="2"/>
  <c r="F527" i="2"/>
  <c r="G526" i="2"/>
  <c r="E526" i="2"/>
  <c r="F526" i="2" s="1"/>
  <c r="G523" i="2"/>
  <c r="F523" i="2"/>
  <c r="E522" i="2"/>
  <c r="G522" i="2" s="1"/>
  <c r="G521" i="2"/>
  <c r="F521" i="2"/>
  <c r="E520" i="2"/>
  <c r="G520" i="2" s="1"/>
  <c r="G518" i="2"/>
  <c r="F518" i="2"/>
  <c r="E518" i="2"/>
  <c r="G517" i="2"/>
  <c r="F517" i="2"/>
  <c r="F516" i="2"/>
  <c r="E516" i="2"/>
  <c r="G516" i="2" s="1"/>
  <c r="G513" i="2"/>
  <c r="F513" i="2"/>
  <c r="E512" i="2"/>
  <c r="G512" i="2" s="1"/>
  <c r="G509" i="2"/>
  <c r="F509" i="2"/>
  <c r="E508" i="2"/>
  <c r="F508" i="2" s="1"/>
  <c r="G507" i="2"/>
  <c r="F507" i="2"/>
  <c r="G506" i="2"/>
  <c r="E506" i="2"/>
  <c r="F506" i="2" s="1"/>
  <c r="E504" i="2"/>
  <c r="F504" i="2" s="1"/>
  <c r="G503" i="2"/>
  <c r="F503" i="2"/>
  <c r="F502" i="2"/>
  <c r="E502" i="2"/>
  <c r="G502" i="2" s="1"/>
  <c r="G499" i="2"/>
  <c r="F499" i="2"/>
  <c r="E498" i="2"/>
  <c r="G498" i="2" s="1"/>
  <c r="G495" i="2"/>
  <c r="F495" i="2"/>
  <c r="E494" i="2"/>
  <c r="G494" i="2" s="1"/>
  <c r="G493" i="2"/>
  <c r="F493" i="2"/>
  <c r="E492" i="2"/>
  <c r="F492" i="2" s="1"/>
  <c r="E490" i="2"/>
  <c r="G490" i="2" s="1"/>
  <c r="G489" i="2"/>
  <c r="F489" i="2"/>
  <c r="G488" i="2"/>
  <c r="E488" i="2"/>
  <c r="F488" i="2" s="1"/>
  <c r="G485" i="2"/>
  <c r="F485" i="2"/>
  <c r="G484" i="2"/>
  <c r="F484" i="2"/>
  <c r="E484" i="2"/>
  <c r="G472" i="2"/>
  <c r="F472" i="2"/>
  <c r="E471" i="2"/>
  <c r="G471" i="2" s="1"/>
  <c r="G458" i="2"/>
  <c r="F458" i="2"/>
  <c r="E457" i="2"/>
  <c r="F457" i="2" s="1"/>
  <c r="G444" i="2"/>
  <c r="F444" i="2"/>
  <c r="E443" i="2"/>
  <c r="F443" i="2" s="1"/>
  <c r="G430" i="2"/>
  <c r="F430" i="2"/>
  <c r="E429" i="2"/>
  <c r="G429" i="2" s="1"/>
  <c r="G416" i="2"/>
  <c r="F416" i="2"/>
  <c r="E415" i="2"/>
  <c r="G415" i="2" s="1"/>
  <c r="G476" i="2"/>
  <c r="F476" i="2"/>
  <c r="G462" i="2"/>
  <c r="F462" i="2"/>
  <c r="G448" i="2"/>
  <c r="F448" i="2"/>
  <c r="G434" i="2"/>
  <c r="F434" i="2"/>
  <c r="G420" i="2"/>
  <c r="F420" i="2"/>
  <c r="G480" i="2"/>
  <c r="F480" i="2"/>
  <c r="E479" i="2"/>
  <c r="G479" i="2" s="1"/>
  <c r="G478" i="2"/>
  <c r="F478" i="2"/>
  <c r="E477" i="2"/>
  <c r="G477" i="2" s="1"/>
  <c r="E475" i="2"/>
  <c r="F475" i="2" s="1"/>
  <c r="G474" i="2"/>
  <c r="F474" i="2"/>
  <c r="E473" i="2"/>
  <c r="G473" i="2" s="1"/>
  <c r="G470" i="2"/>
  <c r="F470" i="2"/>
  <c r="E469" i="2"/>
  <c r="G469" i="2" s="1"/>
  <c r="G466" i="2"/>
  <c r="F466" i="2"/>
  <c r="E465" i="2"/>
  <c r="F465" i="2" s="1"/>
  <c r="G464" i="2"/>
  <c r="F464" i="2"/>
  <c r="E463" i="2"/>
  <c r="G463" i="2" s="1"/>
  <c r="E461" i="2"/>
  <c r="G461" i="2" s="1"/>
  <c r="G460" i="2"/>
  <c r="F460" i="2"/>
  <c r="E459" i="2"/>
  <c r="G459" i="2" s="1"/>
  <c r="G456" i="2"/>
  <c r="F456" i="2"/>
  <c r="E455" i="2"/>
  <c r="G455" i="2" s="1"/>
  <c r="G452" i="2"/>
  <c r="F452" i="2"/>
  <c r="E451" i="2"/>
  <c r="G451" i="2" s="1"/>
  <c r="G450" i="2"/>
  <c r="F450" i="2"/>
  <c r="E449" i="2"/>
  <c r="G449" i="2" s="1"/>
  <c r="E447" i="2"/>
  <c r="G447" i="2" s="1"/>
  <c r="G446" i="2"/>
  <c r="F446" i="2"/>
  <c r="E445" i="2"/>
  <c r="G445" i="2" s="1"/>
  <c r="G442" i="2"/>
  <c r="F442" i="2"/>
  <c r="E441" i="2"/>
  <c r="G441" i="2" s="1"/>
  <c r="G438" i="2"/>
  <c r="F438" i="2"/>
  <c r="E437" i="2"/>
  <c r="G437" i="2" s="1"/>
  <c r="G436" i="2"/>
  <c r="F436" i="2"/>
  <c r="E435" i="2"/>
  <c r="G435" i="2" s="1"/>
  <c r="E433" i="2"/>
  <c r="G433" i="2" s="1"/>
  <c r="G432" i="2"/>
  <c r="F432" i="2"/>
  <c r="E431" i="2"/>
  <c r="G431" i="2" s="1"/>
  <c r="G428" i="2"/>
  <c r="F428" i="2"/>
  <c r="E427" i="2"/>
  <c r="G427" i="2" s="1"/>
  <c r="G424" i="2"/>
  <c r="F424" i="2"/>
  <c r="E423" i="2"/>
  <c r="G423" i="2" s="1"/>
  <c r="G422" i="2"/>
  <c r="F422" i="2"/>
  <c r="E421" i="2"/>
  <c r="G421" i="2" s="1"/>
  <c r="E419" i="2"/>
  <c r="G419" i="2" s="1"/>
  <c r="G418" i="2"/>
  <c r="F418" i="2"/>
  <c r="E417" i="2"/>
  <c r="G417" i="2" s="1"/>
  <c r="G414" i="2"/>
  <c r="F414" i="2"/>
  <c r="E413" i="2"/>
  <c r="F413" i="2" s="1"/>
  <c r="G402" i="2"/>
  <c r="F402" i="2"/>
  <c r="G401" i="2"/>
  <c r="E401" i="2"/>
  <c r="F401" i="2" s="1"/>
  <c r="G390" i="2"/>
  <c r="F390" i="2"/>
  <c r="E389" i="2"/>
  <c r="G389" i="2" s="1"/>
  <c r="G378" i="2"/>
  <c r="F378" i="2"/>
  <c r="E377" i="2"/>
  <c r="F377" i="2" s="1"/>
  <c r="G366" i="2"/>
  <c r="F366" i="2"/>
  <c r="E365" i="2"/>
  <c r="G365" i="2" s="1"/>
  <c r="G354" i="2"/>
  <c r="F354" i="2"/>
  <c r="G353" i="2"/>
  <c r="E353" i="2"/>
  <c r="F353" i="2" s="1"/>
  <c r="G408" i="2"/>
  <c r="F408" i="2"/>
  <c r="E407" i="2"/>
  <c r="G407" i="2" s="1"/>
  <c r="G406" i="2"/>
  <c r="F406" i="2"/>
  <c r="E405" i="2"/>
  <c r="G405" i="2" s="1"/>
  <c r="G404" i="2"/>
  <c r="F404" i="2"/>
  <c r="E403" i="2"/>
  <c r="G403" i="2" s="1"/>
  <c r="G400" i="2"/>
  <c r="F400" i="2"/>
  <c r="E399" i="2"/>
  <c r="G399" i="2" s="1"/>
  <c r="G396" i="2"/>
  <c r="F396" i="2"/>
  <c r="E395" i="2"/>
  <c r="F395" i="2" s="1"/>
  <c r="G394" i="2"/>
  <c r="F394" i="2"/>
  <c r="G393" i="2"/>
  <c r="E393" i="2"/>
  <c r="F393" i="2" s="1"/>
  <c r="G392" i="2"/>
  <c r="F392" i="2"/>
  <c r="E391" i="2"/>
  <c r="G391" i="2" s="1"/>
  <c r="G388" i="2"/>
  <c r="F388" i="2"/>
  <c r="G387" i="2"/>
  <c r="F387" i="2"/>
  <c r="E387" i="2"/>
  <c r="G384" i="2"/>
  <c r="F384" i="2"/>
  <c r="E383" i="2"/>
  <c r="G383" i="2" s="1"/>
  <c r="G382" i="2"/>
  <c r="F382" i="2"/>
  <c r="E381" i="2"/>
  <c r="G381" i="2" s="1"/>
  <c r="G380" i="2"/>
  <c r="F380" i="2"/>
  <c r="E379" i="2"/>
  <c r="F379" i="2" s="1"/>
  <c r="G376" i="2"/>
  <c r="F376" i="2"/>
  <c r="E375" i="2"/>
  <c r="F375" i="2" s="1"/>
  <c r="G372" i="2"/>
  <c r="F372" i="2"/>
  <c r="F371" i="2"/>
  <c r="E371" i="2"/>
  <c r="G371" i="2" s="1"/>
  <c r="G370" i="2"/>
  <c r="F370" i="2"/>
  <c r="E369" i="2"/>
  <c r="G369" i="2" s="1"/>
  <c r="G368" i="2"/>
  <c r="F368" i="2"/>
  <c r="E367" i="2"/>
  <c r="G367" i="2" s="1"/>
  <c r="G364" i="2"/>
  <c r="F364" i="2"/>
  <c r="E363" i="2"/>
  <c r="G363" i="2" s="1"/>
  <c r="G360" i="2"/>
  <c r="F360" i="2"/>
  <c r="E359" i="2"/>
  <c r="G359" i="2" s="1"/>
  <c r="G358" i="2"/>
  <c r="F358" i="2"/>
  <c r="E357" i="2"/>
  <c r="G357" i="2" s="1"/>
  <c r="G356" i="2"/>
  <c r="F356" i="2"/>
  <c r="E355" i="2"/>
  <c r="G355" i="2" s="1"/>
  <c r="G352" i="2"/>
  <c r="F352" i="2"/>
  <c r="E351" i="2"/>
  <c r="G351" i="2" s="1"/>
  <c r="G341" i="2"/>
  <c r="F341" i="2"/>
  <c r="E340" i="2"/>
  <c r="G340" i="2" s="1"/>
  <c r="G329" i="2"/>
  <c r="F329" i="2"/>
  <c r="E328" i="2"/>
  <c r="F328" i="2" s="1"/>
  <c r="G317" i="2"/>
  <c r="F317" i="2"/>
  <c r="E316" i="2"/>
  <c r="F316" i="2" s="1"/>
  <c r="G305" i="2"/>
  <c r="F305" i="2"/>
  <c r="E304" i="2"/>
  <c r="F304" i="2" s="1"/>
  <c r="G347" i="2"/>
  <c r="F347" i="2"/>
  <c r="E346" i="2"/>
  <c r="G346" i="2" s="1"/>
  <c r="G345" i="2"/>
  <c r="F345" i="2"/>
  <c r="E344" i="2"/>
  <c r="F344" i="2" s="1"/>
  <c r="G343" i="2"/>
  <c r="F343" i="2"/>
  <c r="E342" i="2"/>
  <c r="G342" i="2" s="1"/>
  <c r="G339" i="2"/>
  <c r="F339" i="2"/>
  <c r="E338" i="2"/>
  <c r="G338" i="2" s="1"/>
  <c r="G335" i="2"/>
  <c r="F335" i="2"/>
  <c r="E334" i="2"/>
  <c r="F334" i="2" s="1"/>
  <c r="G333" i="2"/>
  <c r="F333" i="2"/>
  <c r="E332" i="2"/>
  <c r="G332" i="2" s="1"/>
  <c r="G331" i="2"/>
  <c r="F331" i="2"/>
  <c r="E330" i="2"/>
  <c r="G330" i="2" s="1"/>
  <c r="G327" i="2"/>
  <c r="F327" i="2"/>
  <c r="E326" i="2"/>
  <c r="F326" i="2" s="1"/>
  <c r="G323" i="2"/>
  <c r="F323" i="2"/>
  <c r="E322" i="2"/>
  <c r="G322" i="2" s="1"/>
  <c r="G321" i="2"/>
  <c r="F321" i="2"/>
  <c r="E320" i="2"/>
  <c r="G320" i="2" s="1"/>
  <c r="G319" i="2"/>
  <c r="F319" i="2"/>
  <c r="E318" i="2"/>
  <c r="F318" i="2" s="1"/>
  <c r="G315" i="2"/>
  <c r="F315" i="2"/>
  <c r="E314" i="2"/>
  <c r="G314" i="2" s="1"/>
  <c r="G311" i="2"/>
  <c r="F311" i="2"/>
  <c r="E310" i="2"/>
  <c r="G310" i="2" s="1"/>
  <c r="G309" i="2"/>
  <c r="F309" i="2"/>
  <c r="E308" i="2"/>
  <c r="G308" i="2" s="1"/>
  <c r="G307" i="2"/>
  <c r="F307" i="2"/>
  <c r="E306" i="2"/>
  <c r="G306" i="2" s="1"/>
  <c r="G303" i="2"/>
  <c r="F303" i="2"/>
  <c r="E302" i="2"/>
  <c r="G302" i="2" s="1"/>
  <c r="G292" i="2"/>
  <c r="F292" i="2"/>
  <c r="E291" i="2"/>
  <c r="G291" i="2" s="1"/>
  <c r="G280" i="2"/>
  <c r="F280" i="2"/>
  <c r="E279" i="2"/>
  <c r="F279" i="2" s="1"/>
  <c r="G268" i="2"/>
  <c r="F268" i="2"/>
  <c r="E267" i="2"/>
  <c r="F267" i="2" s="1"/>
  <c r="G256" i="2"/>
  <c r="F256" i="2"/>
  <c r="E255" i="2"/>
  <c r="G255" i="2" s="1"/>
  <c r="G244" i="2"/>
  <c r="F244" i="2"/>
  <c r="E243" i="2"/>
  <c r="G243" i="2" s="1"/>
  <c r="G298" i="2"/>
  <c r="F298" i="2"/>
  <c r="E297" i="2"/>
  <c r="F297" i="2" s="1"/>
  <c r="G296" i="2"/>
  <c r="F296" i="2"/>
  <c r="E295" i="2"/>
  <c r="G295" i="2" s="1"/>
  <c r="G294" i="2"/>
  <c r="F294" i="2"/>
  <c r="E293" i="2"/>
  <c r="F293" i="2" s="1"/>
  <c r="G290" i="2"/>
  <c r="F290" i="2"/>
  <c r="E289" i="2"/>
  <c r="F289" i="2" s="1"/>
  <c r="G286" i="2"/>
  <c r="F286" i="2"/>
  <c r="E285" i="2"/>
  <c r="G285" i="2" s="1"/>
  <c r="G284" i="2"/>
  <c r="F284" i="2"/>
  <c r="E283" i="2"/>
  <c r="G283" i="2" s="1"/>
  <c r="G282" i="2"/>
  <c r="F282" i="2"/>
  <c r="E281" i="2"/>
  <c r="G281" i="2" s="1"/>
  <c r="G278" i="2"/>
  <c r="F278" i="2"/>
  <c r="E277" i="2"/>
  <c r="G277" i="2" s="1"/>
  <c r="G274" i="2"/>
  <c r="F274" i="2"/>
  <c r="E273" i="2"/>
  <c r="F273" i="2" s="1"/>
  <c r="G272" i="2"/>
  <c r="F272" i="2"/>
  <c r="E271" i="2"/>
  <c r="G271" i="2" s="1"/>
  <c r="G270" i="2"/>
  <c r="F270" i="2"/>
  <c r="E269" i="2"/>
  <c r="G269" i="2" s="1"/>
  <c r="G266" i="2"/>
  <c r="F266" i="2"/>
  <c r="E265" i="2"/>
  <c r="G265" i="2" s="1"/>
  <c r="G262" i="2"/>
  <c r="F262" i="2"/>
  <c r="E261" i="2"/>
  <c r="F261" i="2" s="1"/>
  <c r="G260" i="2"/>
  <c r="F260" i="2"/>
  <c r="E259" i="2"/>
  <c r="F259" i="2" s="1"/>
  <c r="G258" i="2"/>
  <c r="F258" i="2"/>
  <c r="E257" i="2"/>
  <c r="F257" i="2" s="1"/>
  <c r="G254" i="2"/>
  <c r="F254" i="2"/>
  <c r="E253" i="2"/>
  <c r="G253" i="2" s="1"/>
  <c r="G250" i="2"/>
  <c r="F250" i="2"/>
  <c r="E249" i="2"/>
  <c r="G249" i="2" s="1"/>
  <c r="G248" i="2"/>
  <c r="F248" i="2"/>
  <c r="E247" i="2"/>
  <c r="G247" i="2" s="1"/>
  <c r="G246" i="2"/>
  <c r="F246" i="2"/>
  <c r="E245" i="2"/>
  <c r="F245" i="2" s="1"/>
  <c r="G242" i="2"/>
  <c r="F242" i="2"/>
  <c r="E241" i="2"/>
  <c r="F241" i="2" s="1"/>
  <c r="E235" i="2"/>
  <c r="G235" i="2" s="1"/>
  <c r="E225" i="2"/>
  <c r="F225" i="2" s="1"/>
  <c r="E215" i="2"/>
  <c r="F215" i="2" s="1"/>
  <c r="E205" i="2"/>
  <c r="F205" i="2" s="1"/>
  <c r="G236" i="2"/>
  <c r="F236" i="2"/>
  <c r="G234" i="2"/>
  <c r="F234" i="2"/>
  <c r="E233" i="2"/>
  <c r="G233" i="2" s="1"/>
  <c r="E231" i="2"/>
  <c r="G231" i="2" s="1"/>
  <c r="G230" i="2"/>
  <c r="F230" i="2"/>
  <c r="E229" i="2"/>
  <c r="G229" i="2" s="1"/>
  <c r="G226" i="2"/>
  <c r="F226" i="2"/>
  <c r="G224" i="2"/>
  <c r="F224" i="2"/>
  <c r="E223" i="2"/>
  <c r="G223" i="2" s="1"/>
  <c r="E221" i="2"/>
  <c r="G221" i="2" s="1"/>
  <c r="G220" i="2"/>
  <c r="F220" i="2"/>
  <c r="E219" i="2"/>
  <c r="G219" i="2" s="1"/>
  <c r="G216" i="2"/>
  <c r="F216" i="2"/>
  <c r="G214" i="2"/>
  <c r="F214" i="2"/>
  <c r="E213" i="2"/>
  <c r="G213" i="2" s="1"/>
  <c r="E211" i="2"/>
  <c r="G211" i="2" s="1"/>
  <c r="G210" i="2"/>
  <c r="F210" i="2"/>
  <c r="E209" i="2"/>
  <c r="G209" i="2" s="1"/>
  <c r="G206" i="2"/>
  <c r="F206" i="2"/>
  <c r="G204" i="2"/>
  <c r="F204" i="2"/>
  <c r="E203" i="2"/>
  <c r="G203" i="2" s="1"/>
  <c r="E201" i="2"/>
  <c r="G201" i="2" s="1"/>
  <c r="G200" i="2"/>
  <c r="F200" i="2"/>
  <c r="E199" i="2"/>
  <c r="G199" i="2" s="1"/>
  <c r="E195" i="2"/>
  <c r="G195" i="2" s="1"/>
  <c r="E193" i="2"/>
  <c r="G193" i="2" s="1"/>
  <c r="G196" i="2"/>
  <c r="F196" i="2"/>
  <c r="G194" i="2"/>
  <c r="F194" i="2"/>
  <c r="E191" i="2"/>
  <c r="G191" i="2" s="1"/>
  <c r="G190" i="2"/>
  <c r="F190" i="2"/>
  <c r="E189" i="2"/>
  <c r="G189" i="2" s="1"/>
  <c r="E164" i="2"/>
  <c r="G164" i="2" s="1"/>
  <c r="E174" i="2"/>
  <c r="F174" i="2" s="1"/>
  <c r="E184" i="2"/>
  <c r="F184" i="2" s="1"/>
  <c r="G185" i="2"/>
  <c r="F185" i="2"/>
  <c r="G183" i="2"/>
  <c r="F183" i="2"/>
  <c r="E182" i="2"/>
  <c r="G182" i="2" s="1"/>
  <c r="E180" i="2"/>
  <c r="G180" i="2" s="1"/>
  <c r="G179" i="2"/>
  <c r="F179" i="2"/>
  <c r="E178" i="2"/>
  <c r="G178" i="2" s="1"/>
  <c r="G175" i="2"/>
  <c r="F175" i="2"/>
  <c r="G173" i="2"/>
  <c r="F173" i="2"/>
  <c r="E172" i="2"/>
  <c r="G172" i="2" s="1"/>
  <c r="E170" i="2"/>
  <c r="G170" i="2" s="1"/>
  <c r="G169" i="2"/>
  <c r="F169" i="2"/>
  <c r="E168" i="2"/>
  <c r="G168" i="2" s="1"/>
  <c r="G165" i="2"/>
  <c r="F165" i="2"/>
  <c r="G163" i="2"/>
  <c r="F163" i="2"/>
  <c r="E162" i="2"/>
  <c r="F162" i="2" s="1"/>
  <c r="E160" i="2"/>
  <c r="G160" i="2" s="1"/>
  <c r="G159" i="2"/>
  <c r="F159" i="2"/>
  <c r="E158" i="2"/>
  <c r="G158" i="2" s="1"/>
  <c r="E154" i="2"/>
  <c r="G154" i="2" s="1"/>
  <c r="G153" i="2"/>
  <c r="F153" i="2"/>
  <c r="E152" i="2"/>
  <c r="F152" i="2" s="1"/>
  <c r="G155" i="2"/>
  <c r="F155" i="2"/>
  <c r="E150" i="2"/>
  <c r="G150" i="2" s="1"/>
  <c r="G149" i="2"/>
  <c r="F149" i="2"/>
  <c r="E148" i="2"/>
  <c r="G148" i="2" s="1"/>
  <c r="E143" i="2"/>
  <c r="G143" i="2" s="1"/>
  <c r="E133" i="2"/>
  <c r="G133" i="2" s="1"/>
  <c r="E123" i="2"/>
  <c r="G123" i="2" s="1"/>
  <c r="E113" i="2"/>
  <c r="F113" i="2" s="1"/>
  <c r="G144" i="2"/>
  <c r="F144" i="2"/>
  <c r="G142" i="2"/>
  <c r="F142" i="2"/>
  <c r="E141" i="2"/>
  <c r="F141" i="2" s="1"/>
  <c r="E139" i="2"/>
  <c r="G139" i="2" s="1"/>
  <c r="G138" i="2"/>
  <c r="F138" i="2"/>
  <c r="E137" i="2"/>
  <c r="F137" i="2" s="1"/>
  <c r="G134" i="2"/>
  <c r="F134" i="2"/>
  <c r="F133" i="2"/>
  <c r="G132" i="2"/>
  <c r="F132" i="2"/>
  <c r="E131" i="2"/>
  <c r="G131" i="2" s="1"/>
  <c r="E129" i="2"/>
  <c r="G129" i="2" s="1"/>
  <c r="G128" i="2"/>
  <c r="F128" i="2"/>
  <c r="E127" i="2"/>
  <c r="G127" i="2" s="1"/>
  <c r="G124" i="2"/>
  <c r="F124" i="2"/>
  <c r="G122" i="2"/>
  <c r="F122" i="2"/>
  <c r="E121" i="2"/>
  <c r="F121" i="2" s="1"/>
  <c r="E119" i="2"/>
  <c r="G119" i="2" s="1"/>
  <c r="G118" i="2"/>
  <c r="F118" i="2"/>
  <c r="E117" i="2"/>
  <c r="G117" i="2" s="1"/>
  <c r="G114" i="2"/>
  <c r="F114" i="2"/>
  <c r="G112" i="2"/>
  <c r="F112" i="2"/>
  <c r="E111" i="2"/>
  <c r="G111" i="2" s="1"/>
  <c r="E109" i="2"/>
  <c r="G109" i="2" s="1"/>
  <c r="G108" i="2"/>
  <c r="F108" i="2"/>
  <c r="E107" i="2"/>
  <c r="G107" i="2" s="1"/>
  <c r="G102" i="2"/>
  <c r="F102" i="2"/>
  <c r="G98" i="2"/>
  <c r="F98" i="2"/>
  <c r="E103" i="2"/>
  <c r="G103" i="2" s="1"/>
  <c r="E101" i="2"/>
  <c r="G101" i="2" s="1"/>
  <c r="E99" i="2"/>
  <c r="G99" i="2" s="1"/>
  <c r="G104" i="2"/>
  <c r="F104" i="2"/>
  <c r="E97" i="2"/>
  <c r="G97" i="2" s="1"/>
  <c r="E91" i="2"/>
  <c r="F91" i="2" s="1"/>
  <c r="G92" i="2"/>
  <c r="F92" i="2"/>
  <c r="G90" i="2"/>
  <c r="F90" i="2"/>
  <c r="E89" i="2"/>
  <c r="G89" i="2" s="1"/>
  <c r="G88" i="2"/>
  <c r="F88" i="2"/>
  <c r="E87" i="2"/>
  <c r="G87" i="2" s="1"/>
  <c r="E83" i="2"/>
  <c r="F83" i="2" s="1"/>
  <c r="E75" i="2"/>
  <c r="F75" i="2" s="1"/>
  <c r="G84" i="2"/>
  <c r="F84" i="2"/>
  <c r="G82" i="2"/>
  <c r="F82" i="2"/>
  <c r="E81" i="2"/>
  <c r="G81" i="2" s="1"/>
  <c r="G80" i="2"/>
  <c r="F80" i="2"/>
  <c r="E79" i="2"/>
  <c r="G79" i="2" s="1"/>
  <c r="G76" i="2"/>
  <c r="F76" i="2"/>
  <c r="G74" i="2"/>
  <c r="F74" i="2"/>
  <c r="E73" i="2"/>
  <c r="G73" i="2" s="1"/>
  <c r="G72" i="2"/>
  <c r="F72" i="2"/>
  <c r="E71" i="2"/>
  <c r="G71" i="2" s="1"/>
  <c r="E67" i="2"/>
  <c r="F67" i="2" s="1"/>
  <c r="E65" i="2"/>
  <c r="G65" i="2" s="1"/>
  <c r="G68" i="2"/>
  <c r="F68" i="2"/>
  <c r="G66" i="2"/>
  <c r="F66" i="2"/>
  <c r="G64" i="2"/>
  <c r="F64" i="2"/>
  <c r="E63" i="2"/>
  <c r="G63" i="2" s="1"/>
  <c r="E58" i="2"/>
  <c r="G58" i="2" s="1"/>
  <c r="E50" i="2"/>
  <c r="G50" i="2" s="1"/>
  <c r="G59" i="2"/>
  <c r="F59" i="2"/>
  <c r="G57" i="2"/>
  <c r="F57" i="2"/>
  <c r="E56" i="2"/>
  <c r="F56" i="2" s="1"/>
  <c r="G55" i="2"/>
  <c r="F55" i="2"/>
  <c r="E54" i="2"/>
  <c r="G54" i="2" s="1"/>
  <c r="G51" i="2"/>
  <c r="F51" i="2"/>
  <c r="G49" i="2"/>
  <c r="F49" i="2"/>
  <c r="E48" i="2"/>
  <c r="G48" i="2" s="1"/>
  <c r="G47" i="2"/>
  <c r="F47" i="2"/>
  <c r="E46" i="2"/>
  <c r="G46" i="2" s="1"/>
  <c r="E42" i="2"/>
  <c r="G42" i="2" s="1"/>
  <c r="E40" i="2"/>
  <c r="G40" i="2" s="1"/>
  <c r="G43" i="2"/>
  <c r="F43" i="2"/>
  <c r="G41" i="2"/>
  <c r="F41" i="2"/>
  <c r="G39" i="2"/>
  <c r="F39" i="2"/>
  <c r="E38" i="2"/>
  <c r="G38" i="2" s="1"/>
  <c r="E33" i="2"/>
  <c r="G33" i="2" s="1"/>
  <c r="E25" i="2"/>
  <c r="G25" i="2" s="1"/>
  <c r="E17" i="2"/>
  <c r="F17" i="2" s="1"/>
  <c r="G34" i="2"/>
  <c r="F34" i="2"/>
  <c r="G32" i="2"/>
  <c r="F32" i="2"/>
  <c r="E31" i="2"/>
  <c r="G31" i="2" s="1"/>
  <c r="G30" i="2"/>
  <c r="F30" i="2"/>
  <c r="E29" i="2"/>
  <c r="G29" i="2" s="1"/>
  <c r="G26" i="2"/>
  <c r="F26" i="2"/>
  <c r="G24" i="2"/>
  <c r="F24" i="2"/>
  <c r="E23" i="2"/>
  <c r="G23" i="2" s="1"/>
  <c r="G22" i="2"/>
  <c r="F22" i="2"/>
  <c r="E21" i="2"/>
  <c r="G21" i="2" s="1"/>
  <c r="G18" i="2"/>
  <c r="F18" i="2"/>
  <c r="G16" i="2"/>
  <c r="F16" i="2"/>
  <c r="E15" i="2"/>
  <c r="G15" i="2" s="1"/>
  <c r="G14" i="2"/>
  <c r="F14" i="2"/>
  <c r="E13" i="2"/>
  <c r="G13" i="2" s="1"/>
  <c r="G10" i="2"/>
  <c r="F10" i="2"/>
  <c r="G8" i="2"/>
  <c r="F8" i="2"/>
  <c r="F6" i="2"/>
  <c r="G6" i="2"/>
  <c r="E9" i="2"/>
  <c r="F9" i="2" s="1"/>
  <c r="E7" i="2"/>
  <c r="F7" i="2" s="1"/>
  <c r="E5" i="2"/>
  <c r="G5" i="2" s="1"/>
  <c r="D19" i="1"/>
  <c r="C19" i="1"/>
  <c r="D17" i="1"/>
  <c r="C17" i="1"/>
  <c r="D21" i="1"/>
  <c r="C21" i="1"/>
  <c r="C15" i="1"/>
  <c r="D15" i="1" s="1"/>
  <c r="D14" i="1"/>
  <c r="C14" i="1"/>
  <c r="D12" i="1"/>
  <c r="C12" i="1"/>
  <c r="C11" i="1"/>
  <c r="D11" i="1" s="1"/>
  <c r="C9" i="1"/>
  <c r="D9" i="1" s="1"/>
  <c r="C8" i="1"/>
  <c r="D8" i="1" s="1"/>
  <c r="C6" i="1"/>
  <c r="D6" i="1" s="1"/>
  <c r="C5" i="1"/>
  <c r="D5" i="1" s="1"/>
  <c r="D3" i="1"/>
  <c r="C3" i="1"/>
  <c r="F9" i="3" l="1"/>
  <c r="F15" i="3"/>
  <c r="F21" i="3"/>
  <c r="F117" i="3"/>
  <c r="F127" i="3"/>
  <c r="G213" i="3"/>
  <c r="G217" i="3" s="1"/>
  <c r="F235" i="3"/>
  <c r="G247" i="3"/>
  <c r="F267" i="3"/>
  <c r="F310" i="3"/>
  <c r="F316" i="3"/>
  <c r="F320" i="3"/>
  <c r="F330" i="3"/>
  <c r="F353" i="3"/>
  <c r="G395" i="3"/>
  <c r="F494" i="3"/>
  <c r="F500" i="3"/>
  <c r="F504" i="3"/>
  <c r="F508" i="3"/>
  <c r="F514" i="3"/>
  <c r="F518" i="3"/>
  <c r="F589" i="3"/>
  <c r="G397" i="3"/>
  <c r="F547" i="3"/>
  <c r="F89" i="3"/>
  <c r="F225" i="3"/>
  <c r="F571" i="3"/>
  <c r="F579" i="3"/>
  <c r="F50" i="3"/>
  <c r="F123" i="3"/>
  <c r="G338" i="3"/>
  <c r="F359" i="3"/>
  <c r="F375" i="3"/>
  <c r="F389" i="3"/>
  <c r="F164" i="3"/>
  <c r="F184" i="3"/>
  <c r="F11" i="3"/>
  <c r="F103" i="3"/>
  <c r="F180" i="3"/>
  <c r="F241" i="3"/>
  <c r="G269" i="3"/>
  <c r="F322" i="3"/>
  <c r="G93" i="3"/>
  <c r="G223" i="3"/>
  <c r="G563" i="3"/>
  <c r="G577" i="3"/>
  <c r="G11" i="3"/>
  <c r="G27" i="3"/>
  <c r="G52" i="3"/>
  <c r="G135" i="3"/>
  <c r="G145" i="3"/>
  <c r="G176" i="3"/>
  <c r="G287" i="3"/>
  <c r="G385" i="3"/>
  <c r="G336" i="3"/>
  <c r="G342" i="3"/>
  <c r="F342" i="3"/>
  <c r="G67" i="3"/>
  <c r="F67" i="3"/>
  <c r="G79" i="3"/>
  <c r="G85" i="3" s="1"/>
  <c r="F79" i="3"/>
  <c r="G121" i="3"/>
  <c r="G125" i="3" s="1"/>
  <c r="F121" i="3"/>
  <c r="G203" i="3"/>
  <c r="G207" i="3" s="1"/>
  <c r="F203" i="3"/>
  <c r="G245" i="3"/>
  <c r="F245" i="3"/>
  <c r="G259" i="3"/>
  <c r="G263" i="3" s="1"/>
  <c r="F259" i="3"/>
  <c r="G273" i="3"/>
  <c r="G275" i="3" s="1"/>
  <c r="F273" i="3"/>
  <c r="G29" i="3"/>
  <c r="G35" i="3" s="1"/>
  <c r="F29" i="3"/>
  <c r="F35" i="3" s="1"/>
  <c r="G69" i="3"/>
  <c r="G107" i="3"/>
  <c r="F107" i="3"/>
  <c r="G162" i="3"/>
  <c r="G166" i="3" s="1"/>
  <c r="F162" i="3"/>
  <c r="G227" i="3"/>
  <c r="G229" i="3"/>
  <c r="F229" i="3"/>
  <c r="G314" i="3"/>
  <c r="G324" i="3" s="1"/>
  <c r="F314" i="3"/>
  <c r="G328" i="3"/>
  <c r="F328" i="3"/>
  <c r="G413" i="3"/>
  <c r="F413" i="3"/>
  <c r="F425" i="3" s="1"/>
  <c r="G427" i="3"/>
  <c r="F427" i="3"/>
  <c r="G455" i="3"/>
  <c r="F455" i="3"/>
  <c r="F467" i="3" s="1"/>
  <c r="G13" i="3"/>
  <c r="G19" i="3" s="1"/>
  <c r="F13" i="3"/>
  <c r="G77" i="3"/>
  <c r="G148" i="3"/>
  <c r="F148" i="3"/>
  <c r="F156" i="3" s="1"/>
  <c r="G189" i="3"/>
  <c r="F189" i="3"/>
  <c r="G469" i="3"/>
  <c r="G481" i="3" s="1"/>
  <c r="F469" i="3"/>
  <c r="G484" i="3"/>
  <c r="F484" i="3"/>
  <c r="G40" i="3"/>
  <c r="F40" i="3"/>
  <c r="G441" i="3"/>
  <c r="F441" i="3"/>
  <c r="F453" i="3" s="1"/>
  <c r="F77" i="3"/>
  <c r="G498" i="3"/>
  <c r="G510" i="3" s="1"/>
  <c r="F498" i="3"/>
  <c r="G512" i="3"/>
  <c r="G524" i="3" s="1"/>
  <c r="F512" i="3"/>
  <c r="F524" i="3" s="1"/>
  <c r="F312" i="3"/>
  <c r="G409" i="3"/>
  <c r="G526" i="3"/>
  <c r="F526" i="3"/>
  <c r="F538" i="3" s="1"/>
  <c r="G541" i="3"/>
  <c r="G553" i="3" s="1"/>
  <c r="F541" i="3"/>
  <c r="G44" i="3"/>
  <c r="G60" i="3"/>
  <c r="G357" i="3"/>
  <c r="G361" i="3" s="1"/>
  <c r="F357" i="3"/>
  <c r="G371" i="3"/>
  <c r="G373" i="3" s="1"/>
  <c r="F371" i="3"/>
  <c r="G555" i="3"/>
  <c r="G567" i="3" s="1"/>
  <c r="F555" i="3"/>
  <c r="G569" i="3"/>
  <c r="G581" i="3" s="1"/>
  <c r="F569" i="3"/>
  <c r="G583" i="3"/>
  <c r="G595" i="3" s="1"/>
  <c r="F583" i="3"/>
  <c r="G597" i="3"/>
  <c r="F597" i="3"/>
  <c r="F609" i="3" s="1"/>
  <c r="F137" i="3"/>
  <c r="F145" i="3" s="1"/>
  <c r="F219" i="3"/>
  <c r="F227" i="3" s="1"/>
  <c r="F473" i="3"/>
  <c r="F502" i="3"/>
  <c r="F516" i="3"/>
  <c r="F559" i="3"/>
  <c r="F573" i="3"/>
  <c r="F587" i="3"/>
  <c r="F17" i="3"/>
  <c r="F56" i="3"/>
  <c r="F83" i="3"/>
  <c r="F249" i="3"/>
  <c r="F318" i="3"/>
  <c r="F332" i="3"/>
  <c r="F346" i="3"/>
  <c r="F387" i="3"/>
  <c r="F397" i="3" s="1"/>
  <c r="F545" i="3"/>
  <c r="F25" i="3"/>
  <c r="F27" i="3" s="1"/>
  <c r="F38" i="3"/>
  <c r="F65" i="3"/>
  <c r="F91" i="3"/>
  <c r="F93" i="3" s="1"/>
  <c r="G97" i="3"/>
  <c r="G105" i="3" s="1"/>
  <c r="G111" i="3"/>
  <c r="F119" i="3"/>
  <c r="F133" i="3"/>
  <c r="F135" i="3" s="1"/>
  <c r="G152" i="3"/>
  <c r="F160" i="3"/>
  <c r="F166" i="3" s="1"/>
  <c r="F174" i="3"/>
  <c r="F176" i="3" s="1"/>
  <c r="G178" i="3"/>
  <c r="G186" i="3" s="1"/>
  <c r="G193" i="3"/>
  <c r="F201" i="3"/>
  <c r="F215" i="3"/>
  <c r="F217" i="3" s="1"/>
  <c r="G233" i="3"/>
  <c r="F243" i="3"/>
  <c r="F257" i="3"/>
  <c r="F263" i="3" s="1"/>
  <c r="F271" i="3"/>
  <c r="F285" i="3"/>
  <c r="G289" i="3"/>
  <c r="G299" i="3" s="1"/>
  <c r="G304" i="3"/>
  <c r="G312" i="3" s="1"/>
  <c r="F326" i="3"/>
  <c r="F340" i="3"/>
  <c r="F348" i="3" s="1"/>
  <c r="F355" i="3"/>
  <c r="F369" i="3"/>
  <c r="F373" i="3" s="1"/>
  <c r="F383" i="3"/>
  <c r="F385" i="3" s="1"/>
  <c r="G401" i="3"/>
  <c r="G417" i="3"/>
  <c r="G431" i="3"/>
  <c r="G445" i="3"/>
  <c r="G459" i="3"/>
  <c r="G488" i="3"/>
  <c r="G530" i="3"/>
  <c r="G601" i="3"/>
  <c r="F46" i="3"/>
  <c r="F101" i="3"/>
  <c r="F182" i="3"/>
  <c r="F279" i="3"/>
  <c r="F293" i="3"/>
  <c r="F299" i="3" s="1"/>
  <c r="F435" i="3"/>
  <c r="F54" i="3"/>
  <c r="F109" i="3"/>
  <c r="F191" i="3"/>
  <c r="F231" i="3"/>
  <c r="F344" i="3"/>
  <c r="F585" i="3"/>
  <c r="F365" i="2"/>
  <c r="F389" i="2"/>
  <c r="F463" i="2"/>
  <c r="F534" i="2"/>
  <c r="F587" i="2"/>
  <c r="F449" i="2"/>
  <c r="F490" i="2"/>
  <c r="F486" i="2"/>
  <c r="G563" i="2"/>
  <c r="G567" i="2" s="1"/>
  <c r="F601" i="2"/>
  <c r="F429" i="2"/>
  <c r="F498" i="2"/>
  <c r="F522" i="2"/>
  <c r="G551" i="2"/>
  <c r="G559" i="2"/>
  <c r="F577" i="2"/>
  <c r="F583" i="2"/>
  <c r="G504" i="2"/>
  <c r="F573" i="2"/>
  <c r="G475" i="2"/>
  <c r="F532" i="2"/>
  <c r="G547" i="2"/>
  <c r="G553" i="2" s="1"/>
  <c r="G597" i="2"/>
  <c r="G595" i="2"/>
  <c r="G581" i="2"/>
  <c r="F581" i="2"/>
  <c r="G609" i="2"/>
  <c r="F549" i="2"/>
  <c r="F553" i="2" s="1"/>
  <c r="F565" i="2"/>
  <c r="F567" i="2" s="1"/>
  <c r="F607" i="2"/>
  <c r="F579" i="2"/>
  <c r="F589" i="2"/>
  <c r="F605" i="2"/>
  <c r="F528" i="2"/>
  <c r="G397" i="2"/>
  <c r="G524" i="2"/>
  <c r="F407" i="2"/>
  <c r="F427" i="2"/>
  <c r="F459" i="2"/>
  <c r="F415" i="2"/>
  <c r="G413" i="2"/>
  <c r="G465" i="2"/>
  <c r="G467" i="2" s="1"/>
  <c r="F479" i="2"/>
  <c r="G443" i="2"/>
  <c r="F471" i="2"/>
  <c r="F520" i="2"/>
  <c r="F391" i="2"/>
  <c r="G395" i="2"/>
  <c r="G492" i="2"/>
  <c r="G496" i="2" s="1"/>
  <c r="G508" i="2"/>
  <c r="G510" i="2" s="1"/>
  <c r="G538" i="2"/>
  <c r="G457" i="2"/>
  <c r="F510" i="2"/>
  <c r="F538" i="2"/>
  <c r="F494" i="2"/>
  <c r="F512" i="2"/>
  <c r="F530" i="2"/>
  <c r="G375" i="2"/>
  <c r="G377" i="2"/>
  <c r="F433" i="2"/>
  <c r="F441" i="2"/>
  <c r="F447" i="2"/>
  <c r="F417" i="2"/>
  <c r="F431" i="2"/>
  <c r="G379" i="2"/>
  <c r="F405" i="2"/>
  <c r="G481" i="2"/>
  <c r="G453" i="2"/>
  <c r="G439" i="2"/>
  <c r="G425" i="2"/>
  <c r="F421" i="2"/>
  <c r="F437" i="2"/>
  <c r="F455" i="2"/>
  <c r="F473" i="2"/>
  <c r="F419" i="2"/>
  <c r="F435" i="2"/>
  <c r="F451" i="2"/>
  <c r="F445" i="2"/>
  <c r="F453" i="2" s="1"/>
  <c r="F461" i="2"/>
  <c r="F477" i="2"/>
  <c r="F423" i="2"/>
  <c r="F469" i="2"/>
  <c r="F383" i="2"/>
  <c r="F403" i="2"/>
  <c r="G328" i="2"/>
  <c r="G304" i="2"/>
  <c r="G312" i="2" s="1"/>
  <c r="F357" i="2"/>
  <c r="G344" i="2"/>
  <c r="G348" i="2" s="1"/>
  <c r="G316" i="2"/>
  <c r="F340" i="2"/>
  <c r="F355" i="2"/>
  <c r="F367" i="2"/>
  <c r="F359" i="2"/>
  <c r="F397" i="2"/>
  <c r="G409" i="2"/>
  <c r="G361" i="2"/>
  <c r="G373" i="2"/>
  <c r="F363" i="2"/>
  <c r="F381" i="2"/>
  <c r="F351" i="2"/>
  <c r="F369" i="2"/>
  <c r="F399" i="2"/>
  <c r="F346" i="2"/>
  <c r="G318" i="2"/>
  <c r="F332" i="2"/>
  <c r="G326" i="2"/>
  <c r="F314" i="2"/>
  <c r="F291" i="2"/>
  <c r="F306" i="2"/>
  <c r="F310" i="2"/>
  <c r="F322" i="2"/>
  <c r="F48" i="2"/>
  <c r="G113" i="2"/>
  <c r="G115" i="2" s="1"/>
  <c r="F330" i="2"/>
  <c r="F342" i="2"/>
  <c r="G334" i="2"/>
  <c r="F302" i="2"/>
  <c r="F320" i="2"/>
  <c r="F308" i="2"/>
  <c r="F338" i="2"/>
  <c r="F277" i="2"/>
  <c r="F164" i="2"/>
  <c r="F295" i="2"/>
  <c r="F65" i="2"/>
  <c r="F255" i="2"/>
  <c r="G279" i="2"/>
  <c r="G287" i="2" s="1"/>
  <c r="F195" i="2"/>
  <c r="G152" i="2"/>
  <c r="G156" i="2" s="1"/>
  <c r="G267" i="2"/>
  <c r="F129" i="2"/>
  <c r="G162" i="2"/>
  <c r="G166" i="2" s="1"/>
  <c r="G297" i="2"/>
  <c r="F73" i="2"/>
  <c r="G121" i="2"/>
  <c r="G125" i="2" s="1"/>
  <c r="G75" i="2"/>
  <c r="G77" i="2" s="1"/>
  <c r="G289" i="2"/>
  <c r="F40" i="2"/>
  <c r="F139" i="2"/>
  <c r="F180" i="2"/>
  <c r="F203" i="2"/>
  <c r="F231" i="2"/>
  <c r="F150" i="2"/>
  <c r="F211" i="2"/>
  <c r="G17" i="2"/>
  <c r="G19" i="2" s="1"/>
  <c r="F87" i="2"/>
  <c r="F119" i="2"/>
  <c r="F154" i="2"/>
  <c r="F193" i="2"/>
  <c r="F213" i="2"/>
  <c r="F233" i="2"/>
  <c r="F97" i="2"/>
  <c r="F109" i="2"/>
  <c r="G184" i="2"/>
  <c r="G186" i="2" s="1"/>
  <c r="G67" i="2"/>
  <c r="G69" i="2" s="1"/>
  <c r="F191" i="2"/>
  <c r="F201" i="2"/>
  <c r="G205" i="2"/>
  <c r="G207" i="2" s="1"/>
  <c r="F111" i="2"/>
  <c r="F243" i="2"/>
  <c r="F23" i="2"/>
  <c r="F54" i="2"/>
  <c r="F101" i="2"/>
  <c r="F249" i="2"/>
  <c r="F38" i="2"/>
  <c r="F160" i="2"/>
  <c r="F170" i="2"/>
  <c r="F223" i="2"/>
  <c r="G259" i="2"/>
  <c r="F285" i="2"/>
  <c r="F131" i="2"/>
  <c r="G137" i="2"/>
  <c r="F247" i="2"/>
  <c r="G141" i="2"/>
  <c r="G241" i="2"/>
  <c r="F269" i="2"/>
  <c r="F15" i="2"/>
  <c r="F158" i="2"/>
  <c r="F172" i="2"/>
  <c r="F221" i="2"/>
  <c r="G225" i="2"/>
  <c r="G227" i="2" s="1"/>
  <c r="F265" i="2"/>
  <c r="F283" i="2"/>
  <c r="G245" i="2"/>
  <c r="F253" i="2"/>
  <c r="G261" i="2"/>
  <c r="F271" i="2"/>
  <c r="G293" i="2"/>
  <c r="G257" i="2"/>
  <c r="G273" i="2"/>
  <c r="F281" i="2"/>
  <c r="F235" i="2"/>
  <c r="G215" i="2"/>
  <c r="G217" i="2" s="1"/>
  <c r="G237" i="2"/>
  <c r="F229" i="2"/>
  <c r="F219" i="2"/>
  <c r="F209" i="2"/>
  <c r="F199" i="2"/>
  <c r="G197" i="2"/>
  <c r="F189" i="2"/>
  <c r="G174" i="2"/>
  <c r="G176" i="2" s="1"/>
  <c r="F178" i="2"/>
  <c r="F182" i="2"/>
  <c r="F168" i="2"/>
  <c r="F148" i="2"/>
  <c r="G135" i="2"/>
  <c r="F123" i="2"/>
  <c r="F143" i="2"/>
  <c r="F127" i="2"/>
  <c r="F117" i="2"/>
  <c r="F107" i="2"/>
  <c r="F99" i="2"/>
  <c r="F29" i="2"/>
  <c r="F50" i="2"/>
  <c r="G56" i="2"/>
  <c r="G60" i="2" s="1"/>
  <c r="F63" i="2"/>
  <c r="G105" i="2"/>
  <c r="G9" i="2"/>
  <c r="F13" i="2"/>
  <c r="F79" i="2"/>
  <c r="F89" i="2"/>
  <c r="F103" i="2"/>
  <c r="F71" i="2"/>
  <c r="G91" i="2"/>
  <c r="G93" i="2" s="1"/>
  <c r="G83" i="2"/>
  <c r="G85" i="2" s="1"/>
  <c r="F81" i="2"/>
  <c r="F58" i="2"/>
  <c r="G52" i="2"/>
  <c r="F46" i="2"/>
  <c r="F42" i="2"/>
  <c r="G44" i="2"/>
  <c r="F25" i="2"/>
  <c r="G27" i="2"/>
  <c r="G35" i="2"/>
  <c r="F33" i="2"/>
  <c r="F31" i="2"/>
  <c r="F21" i="2"/>
  <c r="G7" i="2"/>
  <c r="F5" i="2"/>
  <c r="F11" i="2" s="1"/>
  <c r="F105" i="3" l="1"/>
  <c r="F496" i="3"/>
  <c r="F336" i="3"/>
  <c r="F186" i="3"/>
  <c r="G251" i="3"/>
  <c r="F52" i="3"/>
  <c r="G197" i="3"/>
  <c r="F237" i="3"/>
  <c r="F275" i="3"/>
  <c r="F69" i="3"/>
  <c r="F581" i="3"/>
  <c r="G348" i="3"/>
  <c r="G115" i="3"/>
  <c r="F125" i="3"/>
  <c r="F207" i="3"/>
  <c r="F251" i="3"/>
  <c r="F287" i="3"/>
  <c r="F324" i="3"/>
  <c r="F361" i="3"/>
  <c r="F567" i="3"/>
  <c r="F60" i="3"/>
  <c r="F44" i="3"/>
  <c r="G538" i="3"/>
  <c r="G467" i="3"/>
  <c r="F115" i="3"/>
  <c r="G496" i="3"/>
  <c r="G439" i="3"/>
  <c r="G237" i="3"/>
  <c r="F85" i="3"/>
  <c r="G156" i="3"/>
  <c r="F481" i="3"/>
  <c r="G609" i="3"/>
  <c r="G425" i="3"/>
  <c r="F595" i="3"/>
  <c r="F553" i="3"/>
  <c r="G453" i="3"/>
  <c r="F19" i="3"/>
  <c r="F439" i="3"/>
  <c r="F510" i="3"/>
  <c r="F197" i="3"/>
  <c r="G385" i="2"/>
  <c r="F609" i="2"/>
  <c r="F524" i="2"/>
  <c r="F595" i="2"/>
  <c r="F496" i="2"/>
  <c r="F425" i="2"/>
  <c r="F481" i="2"/>
  <c r="G324" i="2"/>
  <c r="F409" i="2"/>
  <c r="F385" i="2"/>
  <c r="F439" i="2"/>
  <c r="F467" i="2"/>
  <c r="F361" i="2"/>
  <c r="F348" i="2"/>
  <c r="F336" i="2"/>
  <c r="F373" i="2"/>
  <c r="G336" i="2"/>
  <c r="F263" i="2"/>
  <c r="F77" i="2"/>
  <c r="F324" i="2"/>
  <c r="F299" i="2"/>
  <c r="F312" i="2"/>
  <c r="G275" i="2"/>
  <c r="F69" i="2"/>
  <c r="F44" i="2"/>
  <c r="F197" i="2"/>
  <c r="F156" i="2"/>
  <c r="F145" i="2"/>
  <c r="F227" i="2"/>
  <c r="G299" i="2"/>
  <c r="G145" i="2"/>
  <c r="F93" i="2"/>
  <c r="F237" i="2"/>
  <c r="F19" i="2"/>
  <c r="F115" i="2"/>
  <c r="F166" i="2"/>
  <c r="F105" i="2"/>
  <c r="F52" i="2"/>
  <c r="F207" i="2"/>
  <c r="F287" i="2"/>
  <c r="F176" i="2"/>
  <c r="F217" i="2"/>
  <c r="F275" i="2"/>
  <c r="G263" i="2"/>
  <c r="F251" i="2"/>
  <c r="F125" i="2"/>
  <c r="F60" i="2"/>
  <c r="F135" i="2"/>
  <c r="G251" i="2"/>
  <c r="F186" i="2"/>
  <c r="G11" i="2"/>
  <c r="F85" i="2"/>
  <c r="F35" i="2"/>
  <c r="F27" i="2"/>
</calcChain>
</file>

<file path=xl/sharedStrings.xml><?xml version="1.0" encoding="utf-8"?>
<sst xmlns="http://schemas.openxmlformats.org/spreadsheetml/2006/main" count="1244" uniqueCount="116">
  <si>
    <t>Derivador 544502</t>
  </si>
  <si>
    <t>Derivador 544602</t>
  </si>
  <si>
    <t>Derivador 544402</t>
  </si>
  <si>
    <t>Derivador 542503</t>
  </si>
  <si>
    <t>470 MHz</t>
  </si>
  <si>
    <t>862 MHz</t>
  </si>
  <si>
    <t>Pérdidas (dB/m)</t>
  </si>
  <si>
    <t>Cable coaxial T-100 241</t>
  </si>
  <si>
    <t>Pérdidas de paso (dB)</t>
  </si>
  <si>
    <t>Pérdidas de derivación (dB)</t>
  </si>
  <si>
    <t>PAU Repartidor 4D 544902</t>
  </si>
  <si>
    <t>PAU Repartidor 5D 5454</t>
  </si>
  <si>
    <t>Toma 5229</t>
  </si>
  <si>
    <t>Planta Ático</t>
  </si>
  <si>
    <t>Vivienda 1</t>
  </si>
  <si>
    <t>Longitud cable (m)</t>
  </si>
  <si>
    <t>Toma 1, V1, PA</t>
  </si>
  <si>
    <t>Pérdidas 3 metros de cable coaxial</t>
  </si>
  <si>
    <t>Pérdidas de derivación derivador Televés 5446 (4D)</t>
  </si>
  <si>
    <t>Pérdidas 1,17 metros de cable coaxial</t>
  </si>
  <si>
    <t>Pérdidas de inserción o paso PAU Televés 544902 (4D)</t>
  </si>
  <si>
    <t>Pérdidas 5,83 metros de cable coaxial</t>
  </si>
  <si>
    <t>Pérdidas derivación toma Televés 5229</t>
  </si>
  <si>
    <t>Toma 2, V1, PA</t>
  </si>
  <si>
    <t>Toma 3, V1, PA</t>
  </si>
  <si>
    <t>Toma 4, V1, PA</t>
  </si>
  <si>
    <t>Atenuación Total</t>
  </si>
  <si>
    <t>Pérdidas 6,19 metros de cable coaxial</t>
  </si>
  <si>
    <t>Pérdidas 7,22 metros de cable coaxial</t>
  </si>
  <si>
    <t>Pérdidas 6,62 metros de cable coaxial</t>
  </si>
  <si>
    <t>Vivienda 2</t>
  </si>
  <si>
    <t>Toma 1, V2, PA</t>
  </si>
  <si>
    <t>Pérdidas 4,54 metros de cable coaxial</t>
  </si>
  <si>
    <t>Pérdidas 8,49 metros de cable coaxial</t>
  </si>
  <si>
    <t>Pérdidas 5,00 metros de cable coaxial</t>
  </si>
  <si>
    <t>Toma 2, V2, PA</t>
  </si>
  <si>
    <t>Toma 3, V2, PA</t>
  </si>
  <si>
    <t>Pérdidas 9,67 metros de cable coaxial</t>
  </si>
  <si>
    <t>Vivienda 3</t>
  </si>
  <si>
    <t>Toma 1, V3, PA</t>
  </si>
  <si>
    <t>Pérdidas 4,94 metros de cable coaxial</t>
  </si>
  <si>
    <t>Pérdidas 7,88 metros de cable coaxial</t>
  </si>
  <si>
    <t>Toma 2, V3, PA</t>
  </si>
  <si>
    <t>Toma 3, V3, PA</t>
  </si>
  <si>
    <t>Pérdidas 4,89 metros de cable coaxial</t>
  </si>
  <si>
    <t>Pérdidas 6,65 metros de cable coaxial</t>
  </si>
  <si>
    <t>Toma 4, V3, PA</t>
  </si>
  <si>
    <t>Pérdidas 8,81 metros de cable coaxial</t>
  </si>
  <si>
    <t>Planta 3</t>
  </si>
  <si>
    <t>Toma 1, V1, P3</t>
  </si>
  <si>
    <t>Pérdidas de paso derivador Televés 5446 (4D)</t>
  </si>
  <si>
    <t>Pérdidas 2,85 metros de cable coaxial</t>
  </si>
  <si>
    <t>Pérdidas 1,12 metros de cable coaxial</t>
  </si>
  <si>
    <t>Pérdidas 13,92 metros de cable coaxial</t>
  </si>
  <si>
    <t>Pérdidas de derivación derivador Televés 5445 (4D)</t>
  </si>
  <si>
    <t>Pérdidas de inserción o paso PAU Televés 5454 (5D)</t>
  </si>
  <si>
    <t>Toma 2, V1, P3</t>
  </si>
  <si>
    <t>Toma 3, V1, P3</t>
  </si>
  <si>
    <t>Toma 4, V1, P3</t>
  </si>
  <si>
    <t>Toma 5, V1, P3</t>
  </si>
  <si>
    <t>Pérdidas 6,13 metros de cable coaxial</t>
  </si>
  <si>
    <t>Pérdidas 8,00 metros de cable coaxial</t>
  </si>
  <si>
    <t>Pérdidas 7,74 metros de cable coaxial</t>
  </si>
  <si>
    <t>Pérdidas 6,51 metros de cable coaxial</t>
  </si>
  <si>
    <t>Toma 1, V2, P3</t>
  </si>
  <si>
    <t>Pérdidas 4,49 metros de cable coaxial</t>
  </si>
  <si>
    <t>Pérdidas 4,20 metros de cable coaxial</t>
  </si>
  <si>
    <t>Toma 2, V2, P3</t>
  </si>
  <si>
    <t>Toma 3, V2, P3</t>
  </si>
  <si>
    <t>Toma 4, V2, P3</t>
  </si>
  <si>
    <t>Pérdidas 9,70 metros de cable coaxial</t>
  </si>
  <si>
    <t>Pérdidas 9,49 metros de cable coaxial</t>
  </si>
  <si>
    <t>Pérdidas 4,90 metros de cable coaxial</t>
  </si>
  <si>
    <t>Toma 1, V3, P3</t>
  </si>
  <si>
    <t>Pérdidas 4,84 metros de cable coaxial</t>
  </si>
  <si>
    <t>Pérdidas 9,03 metros de cable coaxial</t>
  </si>
  <si>
    <t>Toma 2, V3, P3</t>
  </si>
  <si>
    <t>Toma 3, V3, P3</t>
  </si>
  <si>
    <t>Toma 4, V3, P3</t>
  </si>
  <si>
    <t>Toma 5, V3, P3</t>
  </si>
  <si>
    <t>Pérdidas 4,31 metros de cable coaxial</t>
  </si>
  <si>
    <t>Pérdidas 7,35 metros de cable coaxial</t>
  </si>
  <si>
    <t>Pérdidas 8,51 metros de cable coaxial</t>
  </si>
  <si>
    <t>Pérdidas 10,12 metros de cable coaxial</t>
  </si>
  <si>
    <t>Planta 2</t>
  </si>
  <si>
    <t>Toma 1, V1, P2</t>
  </si>
  <si>
    <t>Toma 2, V1, P2</t>
  </si>
  <si>
    <t>Toma 3, V1, P2</t>
  </si>
  <si>
    <t>Toma 4, V1, P2</t>
  </si>
  <si>
    <t>Toma 5, V1, P2</t>
  </si>
  <si>
    <t>Pérdidas de paso derivador Televés 5445 (4D)</t>
  </si>
  <si>
    <t>Toma 1, V2, P2</t>
  </si>
  <si>
    <t>Toma 2, V2, P2</t>
  </si>
  <si>
    <t>Toma 3, V2, P2</t>
  </si>
  <si>
    <t>Toma 4, V2, P2</t>
  </si>
  <si>
    <t>Toma 1, V3, P2</t>
  </si>
  <si>
    <t>Toma 2, V3, P2</t>
  </si>
  <si>
    <t>Toma 3, V3, P2</t>
  </si>
  <si>
    <t>Toma 4, V3, P2</t>
  </si>
  <si>
    <t>Toma 5, V3, P2</t>
  </si>
  <si>
    <t>Planta 1</t>
  </si>
  <si>
    <t>Toma 1, V1, P1</t>
  </si>
  <si>
    <t>Pérdidas de derivación derivador Televés 5444 (4D)</t>
  </si>
  <si>
    <t>Toma 2, V1, P1</t>
  </si>
  <si>
    <t>Toma 3, V1, P1</t>
  </si>
  <si>
    <t>Toma 4, V1, P1</t>
  </si>
  <si>
    <t>Toma 5, V1, P1</t>
  </si>
  <si>
    <t>Toma 1, V2, P1</t>
  </si>
  <si>
    <t>Toma 2, V2, P1</t>
  </si>
  <si>
    <t>Toma 3, V2, P1</t>
  </si>
  <si>
    <t>Toma 4, V2, P1</t>
  </si>
  <si>
    <t>Toma 1, V3, P1</t>
  </si>
  <si>
    <t>Toma 2, V3, P1</t>
  </si>
  <si>
    <t>Toma 3, V3, P1</t>
  </si>
  <si>
    <t>Toma 4, V3, P1</t>
  </si>
  <si>
    <t>Toma 5, V3,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</si>
</sst>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BC13-7C81-4FE4-8F6D-74E4B64975E7}">
  <dimension ref="A1:D21"/>
  <sheetViews>
    <sheetView workbookViewId="0">
      <selection activeCell="C12" sqref="C12"/>
    </sheetView>
    <sheetView workbookViewId="1"/>
  </sheetViews>
  <sheetFormatPr baseColWidth="10" defaultRowHeight="15" x14ac:dyDescent="0.25"/>
  <cols>
    <col min="1" max="1" width="23.7109375" style="2" bestFit="1" customWidth="1"/>
    <col min="2" max="2" width="25.5703125" style="2" bestFit="1" customWidth="1"/>
    <col min="3" max="4" width="11.42578125" style="1"/>
  </cols>
  <sheetData>
    <row r="1" spans="1:4" x14ac:dyDescent="0.25">
      <c r="C1" s="1" t="s">
        <v>4</v>
      </c>
      <c r="D1" s="1" t="s">
        <v>5</v>
      </c>
    </row>
    <row r="2" spans="1:4" x14ac:dyDescent="0.25">
      <c r="A2" s="2" t="s">
        <v>7</v>
      </c>
    </row>
    <row r="3" spans="1:4" x14ac:dyDescent="0.25">
      <c r="B3" s="2" t="s">
        <v>6</v>
      </c>
      <c r="C3" s="1">
        <f>0.12</f>
        <v>0.12</v>
      </c>
      <c r="D3" s="1">
        <f>0.15</f>
        <v>0.15</v>
      </c>
    </row>
    <row r="4" spans="1:4" x14ac:dyDescent="0.25">
      <c r="A4" s="2" t="s">
        <v>1</v>
      </c>
    </row>
    <row r="5" spans="1:4" x14ac:dyDescent="0.25">
      <c r="B5" s="2" t="s">
        <v>8</v>
      </c>
      <c r="C5" s="1">
        <f>0.8</f>
        <v>0.8</v>
      </c>
      <c r="D5" s="1">
        <f>C5</f>
        <v>0.8</v>
      </c>
    </row>
    <row r="6" spans="1:4" x14ac:dyDescent="0.25">
      <c r="B6" s="2" t="s">
        <v>9</v>
      </c>
      <c r="C6" s="1">
        <f>21</f>
        <v>21</v>
      </c>
      <c r="D6" s="1">
        <f>C6</f>
        <v>21</v>
      </c>
    </row>
    <row r="7" spans="1:4" x14ac:dyDescent="0.25">
      <c r="A7" s="2" t="s">
        <v>0</v>
      </c>
    </row>
    <row r="8" spans="1:4" x14ac:dyDescent="0.25">
      <c r="B8" s="2" t="s">
        <v>8</v>
      </c>
      <c r="C8" s="1">
        <f>3.3</f>
        <v>3.3</v>
      </c>
      <c r="D8" s="1">
        <f>C8</f>
        <v>3.3</v>
      </c>
    </row>
    <row r="9" spans="1:4" x14ac:dyDescent="0.25">
      <c r="B9" s="2" t="s">
        <v>9</v>
      </c>
      <c r="C9" s="1">
        <f>17</f>
        <v>17</v>
      </c>
      <c r="D9" s="1">
        <f>C9</f>
        <v>17</v>
      </c>
    </row>
    <row r="10" spans="1:4" x14ac:dyDescent="0.25">
      <c r="A10" s="2" t="s">
        <v>2</v>
      </c>
    </row>
    <row r="11" spans="1:4" x14ac:dyDescent="0.25">
      <c r="B11" s="2" t="s">
        <v>8</v>
      </c>
      <c r="C11" s="1">
        <f>3.5</f>
        <v>3.5</v>
      </c>
      <c r="D11" s="1">
        <f>C11</f>
        <v>3.5</v>
      </c>
    </row>
    <row r="12" spans="1:4" x14ac:dyDescent="0.25">
      <c r="B12" s="2" t="s">
        <v>9</v>
      </c>
      <c r="C12" s="1">
        <f>13</f>
        <v>13</v>
      </c>
      <c r="D12" s="1">
        <f>C12</f>
        <v>13</v>
      </c>
    </row>
    <row r="13" spans="1:4" x14ac:dyDescent="0.25">
      <c r="A13" s="2" t="s">
        <v>3</v>
      </c>
    </row>
    <row r="14" spans="1:4" x14ac:dyDescent="0.25">
      <c r="B14" s="2" t="s">
        <v>8</v>
      </c>
      <c r="C14" s="1">
        <f>4</f>
        <v>4</v>
      </c>
      <c r="D14" s="1">
        <f>C14</f>
        <v>4</v>
      </c>
    </row>
    <row r="15" spans="1:4" x14ac:dyDescent="0.25">
      <c r="B15" s="2" t="s">
        <v>9</v>
      </c>
      <c r="C15" s="1">
        <f>14</f>
        <v>14</v>
      </c>
      <c r="D15" s="1">
        <f>C15</f>
        <v>14</v>
      </c>
    </row>
    <row r="16" spans="1:4" x14ac:dyDescent="0.25">
      <c r="A16" s="2" t="s">
        <v>10</v>
      </c>
    </row>
    <row r="17" spans="1:4" x14ac:dyDescent="0.25">
      <c r="B17" s="2" t="s">
        <v>8</v>
      </c>
      <c r="C17" s="1">
        <f>9</f>
        <v>9</v>
      </c>
      <c r="D17" s="1">
        <f>C17</f>
        <v>9</v>
      </c>
    </row>
    <row r="18" spans="1:4" x14ac:dyDescent="0.25">
      <c r="A18" s="2" t="s">
        <v>11</v>
      </c>
    </row>
    <row r="19" spans="1:4" x14ac:dyDescent="0.25">
      <c r="B19" s="2" t="s">
        <v>8</v>
      </c>
      <c r="C19" s="1">
        <f>13</f>
        <v>13</v>
      </c>
      <c r="D19" s="1">
        <f>C19</f>
        <v>13</v>
      </c>
    </row>
    <row r="20" spans="1:4" x14ac:dyDescent="0.25">
      <c r="A20" s="2" t="s">
        <v>12</v>
      </c>
    </row>
    <row r="21" spans="1:4" x14ac:dyDescent="0.25">
      <c r="B21" s="2" t="s">
        <v>9</v>
      </c>
      <c r="C21" s="1">
        <f>4</f>
        <v>4</v>
      </c>
      <c r="D21" s="1">
        <f>C21</f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EF33-8DC5-47B9-A8BB-0898D5BCA274}">
  <dimension ref="A1:G609"/>
  <sheetViews>
    <sheetView tabSelected="1" topLeftCell="A91" workbookViewId="0">
      <selection activeCell="D100" sqref="D100:G100"/>
    </sheetView>
    <sheetView workbookViewId="1"/>
  </sheetViews>
  <sheetFormatPr baseColWidth="10" defaultRowHeight="15" x14ac:dyDescent="0.25"/>
  <cols>
    <col min="1" max="2" width="11.42578125" style="2"/>
    <col min="3" max="3" width="13.85546875" style="2" bestFit="1" customWidth="1"/>
    <col min="4" max="4" width="49" style="2" bestFit="1" customWidth="1"/>
    <col min="5" max="5" width="17.5703125" style="1" bestFit="1" customWidth="1"/>
    <col min="6" max="7" width="11.42578125" style="1"/>
  </cols>
  <sheetData>
    <row r="1" spans="1:7" x14ac:dyDescent="0.25">
      <c r="E1" s="1" t="s">
        <v>15</v>
      </c>
      <c r="F1" s="1" t="s">
        <v>4</v>
      </c>
      <c r="G1" s="1" t="s">
        <v>5</v>
      </c>
    </row>
    <row r="2" spans="1:7" x14ac:dyDescent="0.25">
      <c r="A2" s="2" t="s">
        <v>13</v>
      </c>
    </row>
    <row r="3" spans="1:7" x14ac:dyDescent="0.25">
      <c r="B3" s="2" t="s">
        <v>14</v>
      </c>
    </row>
    <row r="4" spans="1:7" x14ac:dyDescent="0.25">
      <c r="C4" s="2" t="s">
        <v>16</v>
      </c>
    </row>
    <row r="5" spans="1:7" x14ac:dyDescent="0.25">
      <c r="D5" s="2" t="s">
        <v>17</v>
      </c>
      <c r="E5" s="1">
        <f>3</f>
        <v>3</v>
      </c>
      <c r="F5" s="3">
        <f>Datos!C$3*'Atenuación tomas'!$E5</f>
        <v>0.36</v>
      </c>
      <c r="G5" s="3">
        <f>Datos!D$3*'Atenuación tomas'!$E5</f>
        <v>0.44999999999999996</v>
      </c>
    </row>
    <row r="6" spans="1:7" x14ac:dyDescent="0.25">
      <c r="D6" s="2" t="s">
        <v>18</v>
      </c>
      <c r="F6" s="3">
        <f>Datos!C$6</f>
        <v>21</v>
      </c>
      <c r="G6" s="3">
        <f>Datos!D$6</f>
        <v>21</v>
      </c>
    </row>
    <row r="7" spans="1:7" x14ac:dyDescent="0.25">
      <c r="D7" s="2" t="s">
        <v>19</v>
      </c>
      <c r="E7" s="1">
        <f>1.17</f>
        <v>1.17</v>
      </c>
      <c r="F7" s="3">
        <f>Datos!C$3*'Atenuación tomas'!$E7</f>
        <v>0.1404</v>
      </c>
      <c r="G7" s="3">
        <f>Datos!D$3*'Atenuación tomas'!$E7</f>
        <v>0.17549999999999999</v>
      </c>
    </row>
    <row r="8" spans="1:7" x14ac:dyDescent="0.25">
      <c r="D8" s="2" t="s">
        <v>20</v>
      </c>
      <c r="F8" s="3">
        <f>Datos!C$17</f>
        <v>9</v>
      </c>
      <c r="G8" s="3">
        <f>Datos!D$17</f>
        <v>9</v>
      </c>
    </row>
    <row r="9" spans="1:7" x14ac:dyDescent="0.25">
      <c r="D9" s="2" t="s">
        <v>21</v>
      </c>
      <c r="E9" s="1">
        <f>5.83</f>
        <v>5.83</v>
      </c>
      <c r="F9" s="3">
        <f>Datos!C$3*'Atenuación tomas'!$E9</f>
        <v>0.6996</v>
      </c>
      <c r="G9" s="3">
        <f>Datos!D$3*'Atenuación tomas'!$E9</f>
        <v>0.87449999999999994</v>
      </c>
    </row>
    <row r="10" spans="1:7" x14ac:dyDescent="0.25">
      <c r="D10" s="2" t="s">
        <v>22</v>
      </c>
      <c r="F10" s="3">
        <f>Datos!C$21</f>
        <v>4</v>
      </c>
      <c r="G10" s="3">
        <f>Datos!D$21</f>
        <v>4</v>
      </c>
    </row>
    <row r="11" spans="1:7" x14ac:dyDescent="0.25">
      <c r="D11" s="2" t="s">
        <v>26</v>
      </c>
      <c r="F11" s="3">
        <f>SUM(F5:F10)</f>
        <v>35.200000000000003</v>
      </c>
      <c r="G11" s="3">
        <f>SUM(G5:G10)</f>
        <v>35.5</v>
      </c>
    </row>
    <row r="12" spans="1:7" x14ac:dyDescent="0.25">
      <c r="C12" s="2" t="s">
        <v>23</v>
      </c>
    </row>
    <row r="13" spans="1:7" x14ac:dyDescent="0.25">
      <c r="D13" s="2" t="s">
        <v>17</v>
      </c>
      <c r="E13" s="1">
        <f>3</f>
        <v>3</v>
      </c>
      <c r="F13" s="3">
        <f>Datos!C$3*'Atenuación tomas'!$E13</f>
        <v>0.36</v>
      </c>
      <c r="G13" s="3">
        <f>Datos!D$3*'Atenuación tomas'!$E13</f>
        <v>0.44999999999999996</v>
      </c>
    </row>
    <row r="14" spans="1:7" x14ac:dyDescent="0.25">
      <c r="D14" s="2" t="s">
        <v>18</v>
      </c>
      <c r="F14" s="3">
        <f>Datos!C$6</f>
        <v>21</v>
      </c>
      <c r="G14" s="3">
        <f>Datos!D$6</f>
        <v>21</v>
      </c>
    </row>
    <row r="15" spans="1:7" x14ac:dyDescent="0.25">
      <c r="D15" s="2" t="s">
        <v>19</v>
      </c>
      <c r="E15" s="1">
        <f>1.17</f>
        <v>1.17</v>
      </c>
      <c r="F15" s="3">
        <f>Datos!C$3*'Atenuación tomas'!$E15</f>
        <v>0.1404</v>
      </c>
      <c r="G15" s="3">
        <f>Datos!D$3*'Atenuación tomas'!$E15</f>
        <v>0.17549999999999999</v>
      </c>
    </row>
    <row r="16" spans="1:7" x14ac:dyDescent="0.25">
      <c r="D16" s="2" t="s">
        <v>20</v>
      </c>
      <c r="F16" s="3">
        <f>Datos!C$17</f>
        <v>9</v>
      </c>
      <c r="G16" s="3">
        <f>Datos!D$17</f>
        <v>9</v>
      </c>
    </row>
    <row r="17" spans="3:7" x14ac:dyDescent="0.25">
      <c r="D17" s="2" t="s">
        <v>27</v>
      </c>
      <c r="E17" s="1">
        <f>6.19</f>
        <v>6.19</v>
      </c>
      <c r="F17" s="3">
        <f>Datos!C$3*'Atenuación tomas'!$E17</f>
        <v>0.74280000000000002</v>
      </c>
      <c r="G17" s="3">
        <f>Datos!D$3*'Atenuación tomas'!$E17</f>
        <v>0.92849999999999999</v>
      </c>
    </row>
    <row r="18" spans="3:7" x14ac:dyDescent="0.25">
      <c r="D18" s="2" t="s">
        <v>22</v>
      </c>
      <c r="F18" s="3">
        <f>Datos!C$21</f>
        <v>4</v>
      </c>
      <c r="G18" s="3">
        <f>Datos!D$21</f>
        <v>4</v>
      </c>
    </row>
    <row r="19" spans="3:7" x14ac:dyDescent="0.25">
      <c r="D19" s="2" t="s">
        <v>26</v>
      </c>
      <c r="F19" s="3">
        <f>SUM(F13:F18)</f>
        <v>35.243200000000002</v>
      </c>
      <c r="G19" s="3">
        <f>SUM(G13:G18)</f>
        <v>35.554000000000002</v>
      </c>
    </row>
    <row r="20" spans="3:7" x14ac:dyDescent="0.25">
      <c r="C20" s="2" t="s">
        <v>24</v>
      </c>
    </row>
    <row r="21" spans="3:7" x14ac:dyDescent="0.25">
      <c r="D21" s="2" t="s">
        <v>17</v>
      </c>
      <c r="E21" s="1">
        <f>3</f>
        <v>3</v>
      </c>
      <c r="F21" s="3">
        <f>Datos!C$3*'Atenuación tomas'!$E21</f>
        <v>0.36</v>
      </c>
      <c r="G21" s="3">
        <f>Datos!D$3*'Atenuación tomas'!$E21</f>
        <v>0.44999999999999996</v>
      </c>
    </row>
    <row r="22" spans="3:7" x14ac:dyDescent="0.25">
      <c r="D22" s="2" t="s">
        <v>18</v>
      </c>
      <c r="F22" s="3">
        <f>Datos!C$6</f>
        <v>21</v>
      </c>
      <c r="G22" s="3">
        <f>Datos!D$6</f>
        <v>21</v>
      </c>
    </row>
    <row r="23" spans="3:7" x14ac:dyDescent="0.25">
      <c r="D23" s="2" t="s">
        <v>19</v>
      </c>
      <c r="E23" s="1">
        <f>1.17</f>
        <v>1.17</v>
      </c>
      <c r="F23" s="3">
        <f>Datos!C$3*'Atenuación tomas'!$E23</f>
        <v>0.1404</v>
      </c>
      <c r="G23" s="3">
        <f>Datos!D$3*'Atenuación tomas'!$E23</f>
        <v>0.17549999999999999</v>
      </c>
    </row>
    <row r="24" spans="3:7" x14ac:dyDescent="0.25">
      <c r="D24" s="2" t="s">
        <v>20</v>
      </c>
      <c r="F24" s="3">
        <f>Datos!C$17</f>
        <v>9</v>
      </c>
      <c r="G24" s="3">
        <f>Datos!D$17</f>
        <v>9</v>
      </c>
    </row>
    <row r="25" spans="3:7" x14ac:dyDescent="0.25">
      <c r="D25" s="2" t="s">
        <v>28</v>
      </c>
      <c r="E25" s="1">
        <f>7.22</f>
        <v>7.22</v>
      </c>
      <c r="F25" s="3">
        <f>Datos!C$3*'Atenuación tomas'!$E25</f>
        <v>0.86639999999999995</v>
      </c>
      <c r="G25" s="3">
        <f>Datos!D$3*'Atenuación tomas'!$E25</f>
        <v>1.083</v>
      </c>
    </row>
    <row r="26" spans="3:7" x14ac:dyDescent="0.25">
      <c r="D26" s="2" t="s">
        <v>22</v>
      </c>
      <c r="F26" s="3">
        <f>Datos!C$21</f>
        <v>4</v>
      </c>
      <c r="G26" s="3">
        <f>Datos!D$21</f>
        <v>4</v>
      </c>
    </row>
    <row r="27" spans="3:7" x14ac:dyDescent="0.25">
      <c r="D27" s="2" t="s">
        <v>26</v>
      </c>
      <c r="F27" s="3">
        <f>SUM(F21:F26)</f>
        <v>35.366799999999998</v>
      </c>
      <c r="G27" s="3">
        <f>SUM(G21:G26)</f>
        <v>35.708500000000001</v>
      </c>
    </row>
    <row r="28" spans="3:7" x14ac:dyDescent="0.25">
      <c r="C28" s="2" t="s">
        <v>25</v>
      </c>
    </row>
    <row r="29" spans="3:7" x14ac:dyDescent="0.25">
      <c r="D29" s="2" t="s">
        <v>17</v>
      </c>
      <c r="E29" s="1">
        <f>3</f>
        <v>3</v>
      </c>
      <c r="F29" s="3">
        <f>Datos!C$3*'Atenuación tomas'!$E29</f>
        <v>0.36</v>
      </c>
      <c r="G29" s="3">
        <f>Datos!D$3*'Atenuación tomas'!$E29</f>
        <v>0.44999999999999996</v>
      </c>
    </row>
    <row r="30" spans="3:7" x14ac:dyDescent="0.25">
      <c r="D30" s="2" t="s">
        <v>18</v>
      </c>
      <c r="F30" s="3">
        <f>Datos!C$6</f>
        <v>21</v>
      </c>
      <c r="G30" s="3">
        <f>Datos!D$6</f>
        <v>21</v>
      </c>
    </row>
    <row r="31" spans="3:7" x14ac:dyDescent="0.25">
      <c r="D31" s="2" t="s">
        <v>19</v>
      </c>
      <c r="E31" s="1">
        <f>1.17</f>
        <v>1.17</v>
      </c>
      <c r="F31" s="3">
        <f>Datos!C$3*'Atenuación tomas'!$E31</f>
        <v>0.1404</v>
      </c>
      <c r="G31" s="3">
        <f>Datos!D$3*'Atenuación tomas'!$E31</f>
        <v>0.17549999999999999</v>
      </c>
    </row>
    <row r="32" spans="3:7" x14ac:dyDescent="0.25">
      <c r="D32" s="2" t="s">
        <v>20</v>
      </c>
      <c r="F32" s="3">
        <f>Datos!C$17</f>
        <v>9</v>
      </c>
      <c r="G32" s="3">
        <f>Datos!D$17</f>
        <v>9</v>
      </c>
    </row>
    <row r="33" spans="2:7" x14ac:dyDescent="0.25">
      <c r="D33" s="2" t="s">
        <v>29</v>
      </c>
      <c r="E33" s="1">
        <f>6.62</f>
        <v>6.62</v>
      </c>
      <c r="F33" s="3">
        <f>Datos!C$3*'Atenuación tomas'!$E33</f>
        <v>0.7944</v>
      </c>
      <c r="G33" s="3">
        <f>Datos!D$3*'Atenuación tomas'!$E33</f>
        <v>0.99299999999999999</v>
      </c>
    </row>
    <row r="34" spans="2:7" x14ac:dyDescent="0.25">
      <c r="D34" s="2" t="s">
        <v>22</v>
      </c>
      <c r="F34" s="3">
        <f>Datos!C$21</f>
        <v>4</v>
      </c>
      <c r="G34" s="3">
        <f>Datos!D$21</f>
        <v>4</v>
      </c>
    </row>
    <row r="35" spans="2:7" x14ac:dyDescent="0.25">
      <c r="D35" s="2" t="s">
        <v>26</v>
      </c>
      <c r="F35" s="3">
        <f>SUM(F29:F34)</f>
        <v>35.294799999999995</v>
      </c>
      <c r="G35" s="3">
        <f>SUM(G29:G34)</f>
        <v>35.618499999999997</v>
      </c>
    </row>
    <row r="36" spans="2:7" x14ac:dyDescent="0.25">
      <c r="B36" s="2" t="s">
        <v>30</v>
      </c>
    </row>
    <row r="37" spans="2:7" x14ac:dyDescent="0.25">
      <c r="C37" s="2" t="s">
        <v>31</v>
      </c>
    </row>
    <row r="38" spans="2:7" x14ac:dyDescent="0.25">
      <c r="D38" s="2" t="s">
        <v>17</v>
      </c>
      <c r="E38" s="1">
        <f>3</f>
        <v>3</v>
      </c>
      <c r="F38" s="3">
        <f>Datos!C$3*'Atenuación tomas'!$E38</f>
        <v>0.36</v>
      </c>
      <c r="G38" s="3">
        <f>Datos!D$3*'Atenuación tomas'!$E38</f>
        <v>0.44999999999999996</v>
      </c>
    </row>
    <row r="39" spans="2:7" x14ac:dyDescent="0.25">
      <c r="D39" s="2" t="s">
        <v>18</v>
      </c>
      <c r="F39" s="3">
        <f>Datos!C$6</f>
        <v>21</v>
      </c>
      <c r="G39" s="3">
        <f>Datos!D$6</f>
        <v>21</v>
      </c>
    </row>
    <row r="40" spans="2:7" x14ac:dyDescent="0.25">
      <c r="D40" s="2" t="s">
        <v>32</v>
      </c>
      <c r="E40" s="1">
        <f>4.54</f>
        <v>4.54</v>
      </c>
      <c r="F40" s="3">
        <f>Datos!C$3*'Atenuación tomas'!$E40</f>
        <v>0.54479999999999995</v>
      </c>
      <c r="G40" s="3">
        <f>Datos!D$3*'Atenuación tomas'!$E40</f>
        <v>0.68099999999999994</v>
      </c>
    </row>
    <row r="41" spans="2:7" x14ac:dyDescent="0.25">
      <c r="D41" s="2" t="s">
        <v>20</v>
      </c>
      <c r="F41" s="3">
        <f>Datos!C$17</f>
        <v>9</v>
      </c>
      <c r="G41" s="3">
        <f>Datos!D$17</f>
        <v>9</v>
      </c>
    </row>
    <row r="42" spans="2:7" x14ac:dyDescent="0.25">
      <c r="D42" s="2" t="s">
        <v>34</v>
      </c>
      <c r="E42" s="1">
        <f>5</f>
        <v>5</v>
      </c>
      <c r="F42" s="3">
        <f>Datos!C$3*'Atenuación tomas'!$E42</f>
        <v>0.6</v>
      </c>
      <c r="G42" s="3">
        <f>Datos!D$3*'Atenuación tomas'!$E42</f>
        <v>0.75</v>
      </c>
    </row>
    <row r="43" spans="2:7" x14ac:dyDescent="0.25">
      <c r="D43" s="2" t="s">
        <v>22</v>
      </c>
      <c r="F43" s="3">
        <f>Datos!C$21</f>
        <v>4</v>
      </c>
      <c r="G43" s="3">
        <f>Datos!D$21</f>
        <v>4</v>
      </c>
    </row>
    <row r="44" spans="2:7" x14ac:dyDescent="0.25">
      <c r="D44" s="2" t="s">
        <v>26</v>
      </c>
      <c r="F44" s="3">
        <f>SUM(F38:F43)</f>
        <v>35.504800000000003</v>
      </c>
      <c r="G44" s="3">
        <f>SUM(G38:G43)</f>
        <v>35.881</v>
      </c>
    </row>
    <row r="45" spans="2:7" x14ac:dyDescent="0.25">
      <c r="C45" s="2" t="s">
        <v>35</v>
      </c>
    </row>
    <row r="46" spans="2:7" x14ac:dyDescent="0.25">
      <c r="D46" s="2" t="s">
        <v>17</v>
      </c>
      <c r="E46" s="1">
        <f>3</f>
        <v>3</v>
      </c>
      <c r="F46" s="3">
        <f>Datos!C$3*'Atenuación tomas'!$E46</f>
        <v>0.36</v>
      </c>
      <c r="G46" s="3">
        <f>Datos!D$3*'Atenuación tomas'!$E46</f>
        <v>0.44999999999999996</v>
      </c>
    </row>
    <row r="47" spans="2:7" x14ac:dyDescent="0.25">
      <c r="D47" s="2" t="s">
        <v>18</v>
      </c>
      <c r="F47" s="3">
        <f>Datos!C$6</f>
        <v>21</v>
      </c>
      <c r="G47" s="3">
        <f>Datos!D$6</f>
        <v>21</v>
      </c>
    </row>
    <row r="48" spans="2:7" x14ac:dyDescent="0.25">
      <c r="D48" s="2" t="s">
        <v>32</v>
      </c>
      <c r="E48" s="1">
        <f>4.54</f>
        <v>4.54</v>
      </c>
      <c r="F48" s="3">
        <f>Datos!C$3*'Atenuación tomas'!$E48</f>
        <v>0.54479999999999995</v>
      </c>
      <c r="G48" s="3">
        <f>Datos!D$3*'Atenuación tomas'!$E48</f>
        <v>0.68099999999999994</v>
      </c>
    </row>
    <row r="49" spans="2:7" x14ac:dyDescent="0.25">
      <c r="D49" s="2" t="s">
        <v>20</v>
      </c>
      <c r="F49" s="3">
        <f>Datos!C$17</f>
        <v>9</v>
      </c>
      <c r="G49" s="3">
        <f>Datos!D$17</f>
        <v>9</v>
      </c>
    </row>
    <row r="50" spans="2:7" x14ac:dyDescent="0.25">
      <c r="D50" s="2" t="s">
        <v>33</v>
      </c>
      <c r="E50" s="1">
        <f>8.49</f>
        <v>8.49</v>
      </c>
      <c r="F50" s="3">
        <f>Datos!C$3*'Atenuación tomas'!$E50</f>
        <v>1.0187999999999999</v>
      </c>
      <c r="G50" s="3">
        <f>Datos!D$3*'Atenuación tomas'!$E50</f>
        <v>1.2735000000000001</v>
      </c>
    </row>
    <row r="51" spans="2:7" x14ac:dyDescent="0.25">
      <c r="D51" s="2" t="s">
        <v>22</v>
      </c>
      <c r="F51" s="3">
        <f>Datos!C$21</f>
        <v>4</v>
      </c>
      <c r="G51" s="3">
        <f>Datos!D$21</f>
        <v>4</v>
      </c>
    </row>
    <row r="52" spans="2:7" x14ac:dyDescent="0.25">
      <c r="D52" s="2" t="s">
        <v>26</v>
      </c>
      <c r="F52" s="3">
        <f>SUM(F46:F51)</f>
        <v>35.923599999999993</v>
      </c>
      <c r="G52" s="3">
        <f>SUM(G46:G51)</f>
        <v>36.404499999999999</v>
      </c>
    </row>
    <row r="53" spans="2:7" x14ac:dyDescent="0.25">
      <c r="C53" s="2" t="s">
        <v>36</v>
      </c>
    </row>
    <row r="54" spans="2:7" x14ac:dyDescent="0.25">
      <c r="D54" s="2" t="s">
        <v>17</v>
      </c>
      <c r="E54" s="1">
        <f>3</f>
        <v>3</v>
      </c>
      <c r="F54" s="3">
        <f>Datos!C$3*'Atenuación tomas'!$E54</f>
        <v>0.36</v>
      </c>
      <c r="G54" s="3">
        <f>Datos!D$3*'Atenuación tomas'!$E54</f>
        <v>0.44999999999999996</v>
      </c>
    </row>
    <row r="55" spans="2:7" x14ac:dyDescent="0.25">
      <c r="D55" s="2" t="s">
        <v>18</v>
      </c>
      <c r="F55" s="3">
        <f>Datos!C$6</f>
        <v>21</v>
      </c>
      <c r="G55" s="3">
        <f>Datos!D$6</f>
        <v>21</v>
      </c>
    </row>
    <row r="56" spans="2:7" x14ac:dyDescent="0.25">
      <c r="D56" s="2" t="s">
        <v>32</v>
      </c>
      <c r="E56" s="1">
        <f>4.54</f>
        <v>4.54</v>
      </c>
      <c r="F56" s="3">
        <f>Datos!C$3*'Atenuación tomas'!$E56</f>
        <v>0.54479999999999995</v>
      </c>
      <c r="G56" s="3">
        <f>Datos!D$3*'Atenuación tomas'!$E56</f>
        <v>0.68099999999999994</v>
      </c>
    </row>
    <row r="57" spans="2:7" x14ac:dyDescent="0.25">
      <c r="D57" s="2" t="s">
        <v>20</v>
      </c>
      <c r="F57" s="3">
        <f>Datos!C$17</f>
        <v>9</v>
      </c>
      <c r="G57" s="3">
        <f>Datos!D$17</f>
        <v>9</v>
      </c>
    </row>
    <row r="58" spans="2:7" x14ac:dyDescent="0.25">
      <c r="D58" s="2" t="s">
        <v>37</v>
      </c>
      <c r="E58" s="1">
        <f>9.67</f>
        <v>9.67</v>
      </c>
      <c r="F58" s="3">
        <f>Datos!C$3*'Atenuación tomas'!$E58</f>
        <v>1.1603999999999999</v>
      </c>
      <c r="G58" s="3">
        <f>Datos!D$3*'Atenuación tomas'!$E58</f>
        <v>1.4504999999999999</v>
      </c>
    </row>
    <row r="59" spans="2:7" x14ac:dyDescent="0.25">
      <c r="D59" s="2" t="s">
        <v>22</v>
      </c>
      <c r="F59" s="3">
        <f>Datos!C$21</f>
        <v>4</v>
      </c>
      <c r="G59" s="3">
        <f>Datos!D$21</f>
        <v>4</v>
      </c>
    </row>
    <row r="60" spans="2:7" x14ac:dyDescent="0.25">
      <c r="D60" s="2" t="s">
        <v>26</v>
      </c>
      <c r="F60" s="3">
        <f>SUM(F54:F59)</f>
        <v>36.065199999999997</v>
      </c>
      <c r="G60" s="3">
        <f>SUM(G54:G59)</f>
        <v>36.581499999999998</v>
      </c>
    </row>
    <row r="61" spans="2:7" x14ac:dyDescent="0.25">
      <c r="B61" s="2" t="s">
        <v>38</v>
      </c>
    </row>
    <row r="62" spans="2:7" x14ac:dyDescent="0.25">
      <c r="C62" s="2" t="s">
        <v>39</v>
      </c>
    </row>
    <row r="63" spans="2:7" x14ac:dyDescent="0.25">
      <c r="D63" s="2" t="s">
        <v>17</v>
      </c>
      <c r="E63" s="1">
        <f>3</f>
        <v>3</v>
      </c>
      <c r="F63" s="3">
        <f>Datos!C$3*'Atenuación tomas'!$E63</f>
        <v>0.36</v>
      </c>
      <c r="G63" s="3">
        <f>Datos!D$3*'Atenuación tomas'!$E63</f>
        <v>0.44999999999999996</v>
      </c>
    </row>
    <row r="64" spans="2:7" x14ac:dyDescent="0.25">
      <c r="D64" s="2" t="s">
        <v>18</v>
      </c>
      <c r="F64" s="3">
        <f>Datos!C$6</f>
        <v>21</v>
      </c>
      <c r="G64" s="3">
        <f>Datos!D$6</f>
        <v>21</v>
      </c>
    </row>
    <row r="65" spans="3:7" x14ac:dyDescent="0.25">
      <c r="D65" s="2" t="s">
        <v>40</v>
      </c>
      <c r="E65" s="1">
        <f>4.94</f>
        <v>4.9400000000000004</v>
      </c>
      <c r="F65" s="3">
        <f>Datos!C$3*'Atenuación tomas'!$E65</f>
        <v>0.59279999999999999</v>
      </c>
      <c r="G65" s="3">
        <f>Datos!D$3*'Atenuación tomas'!$E65</f>
        <v>0.74099999999999999</v>
      </c>
    </row>
    <row r="66" spans="3:7" x14ac:dyDescent="0.25">
      <c r="D66" s="2" t="s">
        <v>20</v>
      </c>
      <c r="F66" s="3">
        <f>Datos!C$17</f>
        <v>9</v>
      </c>
      <c r="G66" s="3">
        <f>Datos!D$17</f>
        <v>9</v>
      </c>
    </row>
    <row r="67" spans="3:7" x14ac:dyDescent="0.25">
      <c r="D67" s="2" t="s">
        <v>41</v>
      </c>
      <c r="E67" s="1">
        <f>7.88</f>
        <v>7.88</v>
      </c>
      <c r="F67" s="3">
        <f>Datos!C$3*'Atenuación tomas'!$E67</f>
        <v>0.9456</v>
      </c>
      <c r="G67" s="3">
        <f>Datos!D$3*'Atenuación tomas'!$E67</f>
        <v>1.1819999999999999</v>
      </c>
    </row>
    <row r="68" spans="3:7" x14ac:dyDescent="0.25">
      <c r="D68" s="2" t="s">
        <v>22</v>
      </c>
      <c r="F68" s="3">
        <f>Datos!C$21</f>
        <v>4</v>
      </c>
      <c r="G68" s="3">
        <f>Datos!D$21</f>
        <v>4</v>
      </c>
    </row>
    <row r="69" spans="3:7" x14ac:dyDescent="0.25">
      <c r="D69" s="2" t="s">
        <v>26</v>
      </c>
      <c r="F69" s="3">
        <f>SUM(F63:F68)</f>
        <v>35.898399999999995</v>
      </c>
      <c r="G69" s="3">
        <f>SUM(G63:G68)</f>
        <v>36.372999999999998</v>
      </c>
    </row>
    <row r="70" spans="3:7" x14ac:dyDescent="0.25">
      <c r="C70" s="2" t="s">
        <v>42</v>
      </c>
    </row>
    <row r="71" spans="3:7" x14ac:dyDescent="0.25">
      <c r="D71" s="2" t="s">
        <v>17</v>
      </c>
      <c r="E71" s="1">
        <f>3</f>
        <v>3</v>
      </c>
      <c r="F71" s="3">
        <f>Datos!C$3*'Atenuación tomas'!$E71</f>
        <v>0.36</v>
      </c>
      <c r="G71" s="3">
        <f>Datos!D$3*'Atenuación tomas'!$E71</f>
        <v>0.44999999999999996</v>
      </c>
    </row>
    <row r="72" spans="3:7" x14ac:dyDescent="0.25">
      <c r="D72" s="2" t="s">
        <v>18</v>
      </c>
      <c r="F72" s="3">
        <f>Datos!C$6</f>
        <v>21</v>
      </c>
      <c r="G72" s="3">
        <f>Datos!D$6</f>
        <v>21</v>
      </c>
    </row>
    <row r="73" spans="3:7" x14ac:dyDescent="0.25">
      <c r="D73" s="2" t="s">
        <v>40</v>
      </c>
      <c r="E73" s="1">
        <f>4.94</f>
        <v>4.9400000000000004</v>
      </c>
      <c r="F73" s="3">
        <f>Datos!C$3*'Atenuación tomas'!$E73</f>
        <v>0.59279999999999999</v>
      </c>
      <c r="G73" s="3">
        <f>Datos!D$3*'Atenuación tomas'!$E73</f>
        <v>0.74099999999999999</v>
      </c>
    </row>
    <row r="74" spans="3:7" x14ac:dyDescent="0.25">
      <c r="D74" s="2" t="s">
        <v>20</v>
      </c>
      <c r="F74" s="3">
        <f>Datos!C$17</f>
        <v>9</v>
      </c>
      <c r="G74" s="3">
        <f>Datos!D$17</f>
        <v>9</v>
      </c>
    </row>
    <row r="75" spans="3:7" x14ac:dyDescent="0.25">
      <c r="D75" s="2" t="s">
        <v>44</v>
      </c>
      <c r="E75" s="1">
        <f>4.89</f>
        <v>4.8899999999999997</v>
      </c>
      <c r="F75" s="3">
        <f>Datos!C$3*'Atenuación tomas'!$E75</f>
        <v>0.58679999999999999</v>
      </c>
      <c r="G75" s="3">
        <f>Datos!D$3*'Atenuación tomas'!$E75</f>
        <v>0.73349999999999993</v>
      </c>
    </row>
    <row r="76" spans="3:7" x14ac:dyDescent="0.25">
      <c r="D76" s="2" t="s">
        <v>22</v>
      </c>
      <c r="F76" s="3">
        <f>Datos!C$21</f>
        <v>4</v>
      </c>
      <c r="G76" s="3">
        <f>Datos!D$21</f>
        <v>4</v>
      </c>
    </row>
    <row r="77" spans="3:7" x14ac:dyDescent="0.25">
      <c r="D77" s="2" t="s">
        <v>26</v>
      </c>
      <c r="F77" s="3">
        <f>SUM(F71:F76)</f>
        <v>35.5396</v>
      </c>
      <c r="G77" s="3">
        <f>SUM(G71:G76)</f>
        <v>35.924499999999995</v>
      </c>
    </row>
    <row r="78" spans="3:7" x14ac:dyDescent="0.25">
      <c r="C78" s="2" t="s">
        <v>43</v>
      </c>
    </row>
    <row r="79" spans="3:7" x14ac:dyDescent="0.25">
      <c r="D79" s="2" t="s">
        <v>17</v>
      </c>
      <c r="E79" s="1">
        <f>3</f>
        <v>3</v>
      </c>
      <c r="F79" s="3">
        <f>Datos!C$3*'Atenuación tomas'!$E79</f>
        <v>0.36</v>
      </c>
      <c r="G79" s="3">
        <f>Datos!D$3*'Atenuación tomas'!$E79</f>
        <v>0.44999999999999996</v>
      </c>
    </row>
    <row r="80" spans="3:7" x14ac:dyDescent="0.25">
      <c r="D80" s="2" t="s">
        <v>18</v>
      </c>
      <c r="F80" s="3">
        <f>Datos!C$6</f>
        <v>21</v>
      </c>
      <c r="G80" s="3">
        <f>Datos!D$6</f>
        <v>21</v>
      </c>
    </row>
    <row r="81" spans="1:7" x14ac:dyDescent="0.25">
      <c r="D81" s="2" t="s">
        <v>40</v>
      </c>
      <c r="E81" s="1">
        <f>4.94</f>
        <v>4.9400000000000004</v>
      </c>
      <c r="F81" s="3">
        <f>Datos!C$3*'Atenuación tomas'!$E81</f>
        <v>0.59279999999999999</v>
      </c>
      <c r="G81" s="3">
        <f>Datos!D$3*'Atenuación tomas'!$E81</f>
        <v>0.74099999999999999</v>
      </c>
    </row>
    <row r="82" spans="1:7" x14ac:dyDescent="0.25">
      <c r="D82" s="2" t="s">
        <v>20</v>
      </c>
      <c r="F82" s="3">
        <f>Datos!C$17</f>
        <v>9</v>
      </c>
      <c r="G82" s="3">
        <f>Datos!D$17</f>
        <v>9</v>
      </c>
    </row>
    <row r="83" spans="1:7" x14ac:dyDescent="0.25">
      <c r="D83" s="2" t="s">
        <v>45</v>
      </c>
      <c r="E83" s="1">
        <f>6.65</f>
        <v>6.65</v>
      </c>
      <c r="F83" s="3">
        <f>Datos!C$3*'Atenuación tomas'!$E83</f>
        <v>0.79800000000000004</v>
      </c>
      <c r="G83" s="3">
        <f>Datos!D$3*'Atenuación tomas'!$E83</f>
        <v>0.99750000000000005</v>
      </c>
    </row>
    <row r="84" spans="1:7" x14ac:dyDescent="0.25">
      <c r="D84" s="2" t="s">
        <v>22</v>
      </c>
      <c r="F84" s="3">
        <f>Datos!C$21</f>
        <v>4</v>
      </c>
      <c r="G84" s="3">
        <f>Datos!D$21</f>
        <v>4</v>
      </c>
    </row>
    <row r="85" spans="1:7" x14ac:dyDescent="0.25">
      <c r="D85" s="2" t="s">
        <v>26</v>
      </c>
      <c r="F85" s="3">
        <f>SUM(F79:F84)</f>
        <v>35.750799999999998</v>
      </c>
      <c r="G85" s="3">
        <f>SUM(G79:G84)</f>
        <v>36.188499999999998</v>
      </c>
    </row>
    <row r="86" spans="1:7" x14ac:dyDescent="0.25">
      <c r="C86" s="2" t="s">
        <v>46</v>
      </c>
    </row>
    <row r="87" spans="1:7" x14ac:dyDescent="0.25">
      <c r="D87" s="2" t="s">
        <v>17</v>
      </c>
      <c r="E87" s="1">
        <f>3</f>
        <v>3</v>
      </c>
      <c r="F87" s="3">
        <f>Datos!C$3*'Atenuación tomas'!$E87</f>
        <v>0.36</v>
      </c>
      <c r="G87" s="3">
        <f>Datos!D$3*'Atenuación tomas'!$E87</f>
        <v>0.44999999999999996</v>
      </c>
    </row>
    <row r="88" spans="1:7" x14ac:dyDescent="0.25">
      <c r="D88" s="2" t="s">
        <v>18</v>
      </c>
      <c r="F88" s="3">
        <f>Datos!C$6</f>
        <v>21</v>
      </c>
      <c r="G88" s="3">
        <f>Datos!D$6</f>
        <v>21</v>
      </c>
    </row>
    <row r="89" spans="1:7" x14ac:dyDescent="0.25">
      <c r="D89" s="2" t="s">
        <v>40</v>
      </c>
      <c r="E89" s="1">
        <f>4.94</f>
        <v>4.9400000000000004</v>
      </c>
      <c r="F89" s="3">
        <f>Datos!C$3*'Atenuación tomas'!$E89</f>
        <v>0.59279999999999999</v>
      </c>
      <c r="G89" s="3">
        <f>Datos!D$3*'Atenuación tomas'!$E89</f>
        <v>0.74099999999999999</v>
      </c>
    </row>
    <row r="90" spans="1:7" x14ac:dyDescent="0.25">
      <c r="D90" s="2" t="s">
        <v>20</v>
      </c>
      <c r="F90" s="3">
        <f>Datos!C$17</f>
        <v>9</v>
      </c>
      <c r="G90" s="3">
        <f>Datos!D$17</f>
        <v>9</v>
      </c>
    </row>
    <row r="91" spans="1:7" x14ac:dyDescent="0.25">
      <c r="D91" s="2" t="s">
        <v>47</v>
      </c>
      <c r="E91" s="1">
        <f>8.81</f>
        <v>8.81</v>
      </c>
      <c r="F91" s="3">
        <f>Datos!C$3*'Atenuación tomas'!$E91</f>
        <v>1.0571999999999999</v>
      </c>
      <c r="G91" s="3">
        <f>Datos!D$3*'Atenuación tomas'!$E91</f>
        <v>1.3215000000000001</v>
      </c>
    </row>
    <row r="92" spans="1:7" x14ac:dyDescent="0.25">
      <c r="D92" s="2" t="s">
        <v>22</v>
      </c>
      <c r="F92" s="3">
        <f>Datos!C$21</f>
        <v>4</v>
      </c>
      <c r="G92" s="3">
        <f>Datos!D$21</f>
        <v>4</v>
      </c>
    </row>
    <row r="93" spans="1:7" x14ac:dyDescent="0.25">
      <c r="D93" s="2" t="s">
        <v>26</v>
      </c>
      <c r="F93" s="3">
        <f>SUM(F87:F92)</f>
        <v>36.01</v>
      </c>
      <c r="G93" s="3">
        <f>SUM(G87:G92)</f>
        <v>36.512499999999996</v>
      </c>
    </row>
    <row r="94" spans="1:7" x14ac:dyDescent="0.25">
      <c r="A94" s="2" t="s">
        <v>48</v>
      </c>
    </row>
    <row r="95" spans="1:7" x14ac:dyDescent="0.25">
      <c r="B95" s="2" t="s">
        <v>14</v>
      </c>
    </row>
    <row r="96" spans="1:7" x14ac:dyDescent="0.25">
      <c r="C96" s="2" t="s">
        <v>49</v>
      </c>
    </row>
    <row r="97" spans="3:7" x14ac:dyDescent="0.25">
      <c r="D97" s="2" t="s">
        <v>17</v>
      </c>
      <c r="E97" s="1">
        <f>3</f>
        <v>3</v>
      </c>
      <c r="F97" s="3">
        <f>Datos!C$3*'Atenuación tomas'!$E97</f>
        <v>0.36</v>
      </c>
      <c r="G97" s="3">
        <f>Datos!D$3*'Atenuación tomas'!$E97</f>
        <v>0.44999999999999996</v>
      </c>
    </row>
    <row r="98" spans="3:7" x14ac:dyDescent="0.25">
      <c r="D98" s="2" t="s">
        <v>50</v>
      </c>
      <c r="F98" s="3">
        <f>Datos!C$5</f>
        <v>0.8</v>
      </c>
      <c r="G98" s="3">
        <f>Datos!D$5</f>
        <v>0.8</v>
      </c>
    </row>
    <row r="99" spans="3:7" x14ac:dyDescent="0.25">
      <c r="D99" s="2" t="s">
        <v>51</v>
      </c>
      <c r="E99" s="1">
        <f>2.85</f>
        <v>2.85</v>
      </c>
      <c r="F99" s="3">
        <f>Datos!C$3*'Atenuación tomas'!$E99</f>
        <v>0.34199999999999997</v>
      </c>
      <c r="G99" s="3">
        <f>Datos!D$3*'Atenuación tomas'!$E99</f>
        <v>0.42749999999999999</v>
      </c>
    </row>
    <row r="100" spans="3:7" x14ac:dyDescent="0.25">
      <c r="D100" s="2" t="s">
        <v>18</v>
      </c>
      <c r="F100" s="3">
        <f>Datos!C$6</f>
        <v>21</v>
      </c>
      <c r="G100" s="3">
        <f>Datos!D$6</f>
        <v>21</v>
      </c>
    </row>
    <row r="101" spans="3:7" x14ac:dyDescent="0.25">
      <c r="D101" s="2" t="s">
        <v>52</v>
      </c>
      <c r="E101" s="1">
        <f>1.12</f>
        <v>1.1200000000000001</v>
      </c>
      <c r="F101" s="3">
        <f>Datos!C$3*'Atenuación tomas'!$E101</f>
        <v>0.13440000000000002</v>
      </c>
      <c r="G101" s="3">
        <f>Datos!D$3*'Atenuación tomas'!$E101</f>
        <v>0.16800000000000001</v>
      </c>
    </row>
    <row r="102" spans="3:7" x14ac:dyDescent="0.25">
      <c r="D102" s="2" t="s">
        <v>55</v>
      </c>
      <c r="F102" s="3">
        <f>Datos!C$19</f>
        <v>13</v>
      </c>
      <c r="G102" s="3">
        <f>Datos!D$19</f>
        <v>13</v>
      </c>
    </row>
    <row r="103" spans="3:7" x14ac:dyDescent="0.25">
      <c r="D103" s="2" t="s">
        <v>53</v>
      </c>
      <c r="E103" s="1">
        <f>13.92</f>
        <v>13.92</v>
      </c>
      <c r="F103" s="3">
        <f>Datos!C$3*'Atenuación tomas'!$E103</f>
        <v>1.6703999999999999</v>
      </c>
      <c r="G103" s="3">
        <f>Datos!D$3*'Atenuación tomas'!$E103</f>
        <v>2.0880000000000001</v>
      </c>
    </row>
    <row r="104" spans="3:7" x14ac:dyDescent="0.25">
      <c r="D104" s="2" t="s">
        <v>22</v>
      </c>
      <c r="F104" s="3">
        <f>Datos!C$21</f>
        <v>4</v>
      </c>
      <c r="G104" s="3">
        <f>Datos!D$21</f>
        <v>4</v>
      </c>
    </row>
    <row r="105" spans="3:7" x14ac:dyDescent="0.25">
      <c r="D105" s="2" t="s">
        <v>26</v>
      </c>
      <c r="F105" s="3">
        <f>SUM(F97:F104)</f>
        <v>41.306799999999996</v>
      </c>
      <c r="G105" s="3">
        <f>SUM(G97:G104)</f>
        <v>41.933500000000002</v>
      </c>
    </row>
    <row r="106" spans="3:7" x14ac:dyDescent="0.25">
      <c r="C106" s="2" t="s">
        <v>56</v>
      </c>
    </row>
    <row r="107" spans="3:7" x14ac:dyDescent="0.25">
      <c r="D107" s="2" t="s">
        <v>17</v>
      </c>
      <c r="E107" s="1">
        <f>3</f>
        <v>3</v>
      </c>
      <c r="F107" s="3">
        <f>Datos!C$3*'Atenuación tomas'!$E107</f>
        <v>0.36</v>
      </c>
      <c r="G107" s="3">
        <f>Datos!D$3*'Atenuación tomas'!$E107</f>
        <v>0.44999999999999996</v>
      </c>
    </row>
    <row r="108" spans="3:7" x14ac:dyDescent="0.25">
      <c r="D108" s="2" t="s">
        <v>50</v>
      </c>
      <c r="F108" s="3">
        <f>Datos!C$5</f>
        <v>0.8</v>
      </c>
      <c r="G108" s="3">
        <f>Datos!D$5</f>
        <v>0.8</v>
      </c>
    </row>
    <row r="109" spans="3:7" x14ac:dyDescent="0.25">
      <c r="D109" s="2" t="s">
        <v>51</v>
      </c>
      <c r="E109" s="1">
        <f>2.85</f>
        <v>2.85</v>
      </c>
      <c r="F109" s="3">
        <f>Datos!C$3*'Atenuación tomas'!$E109</f>
        <v>0.34199999999999997</v>
      </c>
      <c r="G109" s="3">
        <f>Datos!D$3*'Atenuación tomas'!$E109</f>
        <v>0.42749999999999999</v>
      </c>
    </row>
    <row r="110" spans="3:7" x14ac:dyDescent="0.25">
      <c r="D110" s="2" t="s">
        <v>18</v>
      </c>
      <c r="F110" s="3">
        <f>Datos!C$6</f>
        <v>21</v>
      </c>
      <c r="G110" s="3">
        <f>Datos!D$6</f>
        <v>21</v>
      </c>
    </row>
    <row r="111" spans="3:7" x14ac:dyDescent="0.25">
      <c r="D111" s="2" t="s">
        <v>52</v>
      </c>
      <c r="E111" s="1">
        <f>1.12</f>
        <v>1.1200000000000001</v>
      </c>
      <c r="F111" s="3">
        <f>Datos!C$3*'Atenuación tomas'!$E111</f>
        <v>0.13440000000000002</v>
      </c>
      <c r="G111" s="3">
        <f>Datos!D$3*'Atenuación tomas'!$E111</f>
        <v>0.16800000000000001</v>
      </c>
    </row>
    <row r="112" spans="3:7" x14ac:dyDescent="0.25">
      <c r="D112" s="2" t="s">
        <v>55</v>
      </c>
      <c r="F112" s="3">
        <f>Datos!C$19</f>
        <v>13</v>
      </c>
      <c r="G112" s="3">
        <f>Datos!D$19</f>
        <v>13</v>
      </c>
    </row>
    <row r="113" spans="3:7" x14ac:dyDescent="0.25">
      <c r="D113" s="2" t="s">
        <v>60</v>
      </c>
      <c r="E113" s="1">
        <f>6.13</f>
        <v>6.13</v>
      </c>
      <c r="F113" s="3">
        <f>Datos!C$3*'Atenuación tomas'!$E113</f>
        <v>0.73559999999999992</v>
      </c>
      <c r="G113" s="3">
        <f>Datos!D$3*'Atenuación tomas'!$E113</f>
        <v>0.91949999999999998</v>
      </c>
    </row>
    <row r="114" spans="3:7" x14ac:dyDescent="0.25">
      <c r="D114" s="2" t="s">
        <v>22</v>
      </c>
      <c r="F114" s="3">
        <f>Datos!C$21</f>
        <v>4</v>
      </c>
      <c r="G114" s="3">
        <f>Datos!D$21</f>
        <v>4</v>
      </c>
    </row>
    <row r="115" spans="3:7" x14ac:dyDescent="0.25">
      <c r="D115" s="2" t="s">
        <v>26</v>
      </c>
      <c r="F115" s="3">
        <f>SUM(F107:F114)</f>
        <v>40.371999999999993</v>
      </c>
      <c r="G115" s="3">
        <f>SUM(G107:G114)</f>
        <v>40.765000000000001</v>
      </c>
    </row>
    <row r="116" spans="3:7" x14ac:dyDescent="0.25">
      <c r="C116" s="2" t="s">
        <v>57</v>
      </c>
    </row>
    <row r="117" spans="3:7" x14ac:dyDescent="0.25">
      <c r="D117" s="2" t="s">
        <v>17</v>
      </c>
      <c r="E117" s="1">
        <f>3</f>
        <v>3</v>
      </c>
      <c r="F117" s="3">
        <f>Datos!C$3*'Atenuación tomas'!$E117</f>
        <v>0.36</v>
      </c>
      <c r="G117" s="3">
        <f>Datos!D$3*'Atenuación tomas'!$E117</f>
        <v>0.44999999999999996</v>
      </c>
    </row>
    <row r="118" spans="3:7" x14ac:dyDescent="0.25">
      <c r="D118" s="2" t="s">
        <v>50</v>
      </c>
      <c r="F118" s="3">
        <f>Datos!C$5</f>
        <v>0.8</v>
      </c>
      <c r="G118" s="3">
        <f>Datos!D$5</f>
        <v>0.8</v>
      </c>
    </row>
    <row r="119" spans="3:7" x14ac:dyDescent="0.25">
      <c r="D119" s="2" t="s">
        <v>51</v>
      </c>
      <c r="E119" s="1">
        <f>2.85</f>
        <v>2.85</v>
      </c>
      <c r="F119" s="3">
        <f>Datos!C$3*'Atenuación tomas'!$E119</f>
        <v>0.34199999999999997</v>
      </c>
      <c r="G119" s="3">
        <f>Datos!D$3*'Atenuación tomas'!$E119</f>
        <v>0.42749999999999999</v>
      </c>
    </row>
    <row r="120" spans="3:7" x14ac:dyDescent="0.25">
      <c r="D120" s="2" t="s">
        <v>18</v>
      </c>
      <c r="F120" s="3">
        <f>Datos!C$6</f>
        <v>21</v>
      </c>
      <c r="G120" s="3">
        <f>Datos!D$6</f>
        <v>21</v>
      </c>
    </row>
    <row r="121" spans="3:7" x14ac:dyDescent="0.25">
      <c r="D121" s="2" t="s">
        <v>52</v>
      </c>
      <c r="E121" s="1">
        <f>1.12</f>
        <v>1.1200000000000001</v>
      </c>
      <c r="F121" s="3">
        <f>Datos!C$3*'Atenuación tomas'!$E121</f>
        <v>0.13440000000000002</v>
      </c>
      <c r="G121" s="3">
        <f>Datos!D$3*'Atenuación tomas'!$E121</f>
        <v>0.16800000000000001</v>
      </c>
    </row>
    <row r="122" spans="3:7" x14ac:dyDescent="0.25">
      <c r="D122" s="2" t="s">
        <v>55</v>
      </c>
      <c r="F122" s="3">
        <f>Datos!C$19</f>
        <v>13</v>
      </c>
      <c r="G122" s="3">
        <f>Datos!D$19</f>
        <v>13</v>
      </c>
    </row>
    <row r="123" spans="3:7" x14ac:dyDescent="0.25">
      <c r="D123" s="2" t="s">
        <v>61</v>
      </c>
      <c r="E123" s="1">
        <f>8</f>
        <v>8</v>
      </c>
      <c r="F123" s="3">
        <f>Datos!C$3*'Atenuación tomas'!$E123</f>
        <v>0.96</v>
      </c>
      <c r="G123" s="3">
        <f>Datos!D$3*'Atenuación tomas'!$E123</f>
        <v>1.2</v>
      </c>
    </row>
    <row r="124" spans="3:7" x14ac:dyDescent="0.25">
      <c r="D124" s="2" t="s">
        <v>22</v>
      </c>
      <c r="F124" s="3">
        <f>Datos!C$21</f>
        <v>4</v>
      </c>
      <c r="G124" s="3">
        <f>Datos!D$21</f>
        <v>4</v>
      </c>
    </row>
    <row r="125" spans="3:7" x14ac:dyDescent="0.25">
      <c r="D125" s="2" t="s">
        <v>26</v>
      </c>
      <c r="F125" s="3">
        <f>SUM(F117:F124)</f>
        <v>40.596399999999996</v>
      </c>
      <c r="G125" s="3">
        <f>SUM(G117:G124)</f>
        <v>41.045500000000004</v>
      </c>
    </row>
    <row r="126" spans="3:7" x14ac:dyDescent="0.25">
      <c r="C126" s="2" t="s">
        <v>58</v>
      </c>
    </row>
    <row r="127" spans="3:7" x14ac:dyDescent="0.25">
      <c r="D127" s="2" t="s">
        <v>17</v>
      </c>
      <c r="E127" s="1">
        <f>3</f>
        <v>3</v>
      </c>
      <c r="F127" s="3">
        <f>Datos!C$3*'Atenuación tomas'!$E127</f>
        <v>0.36</v>
      </c>
      <c r="G127" s="3">
        <f>Datos!D$3*'Atenuación tomas'!$E127</f>
        <v>0.44999999999999996</v>
      </c>
    </row>
    <row r="128" spans="3:7" x14ac:dyDescent="0.25">
      <c r="D128" s="2" t="s">
        <v>50</v>
      </c>
      <c r="F128" s="3">
        <f>Datos!C$5</f>
        <v>0.8</v>
      </c>
      <c r="G128" s="3">
        <f>Datos!D$5</f>
        <v>0.8</v>
      </c>
    </row>
    <row r="129" spans="3:7" x14ac:dyDescent="0.25">
      <c r="D129" s="2" t="s">
        <v>51</v>
      </c>
      <c r="E129" s="1">
        <f>2.85</f>
        <v>2.85</v>
      </c>
      <c r="F129" s="3">
        <f>Datos!C$3*'Atenuación tomas'!$E129</f>
        <v>0.34199999999999997</v>
      </c>
      <c r="G129" s="3">
        <f>Datos!D$3*'Atenuación tomas'!$E129</f>
        <v>0.42749999999999999</v>
      </c>
    </row>
    <row r="130" spans="3:7" x14ac:dyDescent="0.25">
      <c r="D130" s="2" t="s">
        <v>18</v>
      </c>
      <c r="F130" s="3">
        <f>Datos!C$6</f>
        <v>21</v>
      </c>
      <c r="G130" s="3">
        <f>Datos!D$6</f>
        <v>21</v>
      </c>
    </row>
    <row r="131" spans="3:7" x14ac:dyDescent="0.25">
      <c r="D131" s="2" t="s">
        <v>52</v>
      </c>
      <c r="E131" s="1">
        <f>1.12</f>
        <v>1.1200000000000001</v>
      </c>
      <c r="F131" s="3">
        <f>Datos!C$3*'Atenuación tomas'!$E131</f>
        <v>0.13440000000000002</v>
      </c>
      <c r="G131" s="3">
        <f>Datos!D$3*'Atenuación tomas'!$E131</f>
        <v>0.16800000000000001</v>
      </c>
    </row>
    <row r="132" spans="3:7" x14ac:dyDescent="0.25">
      <c r="D132" s="2" t="s">
        <v>55</v>
      </c>
      <c r="F132" s="3">
        <f>Datos!C$19</f>
        <v>13</v>
      </c>
      <c r="G132" s="3">
        <f>Datos!D$19</f>
        <v>13</v>
      </c>
    </row>
    <row r="133" spans="3:7" x14ac:dyDescent="0.25">
      <c r="D133" s="2" t="s">
        <v>62</v>
      </c>
      <c r="E133" s="1">
        <f>7.74</f>
        <v>7.74</v>
      </c>
      <c r="F133" s="3">
        <f>Datos!C$3*'Atenuación tomas'!$E133</f>
        <v>0.92879999999999996</v>
      </c>
      <c r="G133" s="3">
        <f>Datos!D$3*'Atenuación tomas'!$E133</f>
        <v>1.161</v>
      </c>
    </row>
    <row r="134" spans="3:7" x14ac:dyDescent="0.25">
      <c r="D134" s="2" t="s">
        <v>22</v>
      </c>
      <c r="F134" s="3">
        <f>Datos!C$21</f>
        <v>4</v>
      </c>
      <c r="G134" s="3">
        <f>Datos!D$21</f>
        <v>4</v>
      </c>
    </row>
    <row r="135" spans="3:7" x14ac:dyDescent="0.25">
      <c r="D135" s="2" t="s">
        <v>26</v>
      </c>
      <c r="F135" s="3">
        <f>SUM(F127:F134)</f>
        <v>40.565199999999997</v>
      </c>
      <c r="G135" s="3">
        <f>SUM(G127:G134)</f>
        <v>41.006500000000003</v>
      </c>
    </row>
    <row r="136" spans="3:7" x14ac:dyDescent="0.25">
      <c r="C136" s="2" t="s">
        <v>59</v>
      </c>
    </row>
    <row r="137" spans="3:7" x14ac:dyDescent="0.25">
      <c r="D137" s="2" t="s">
        <v>17</v>
      </c>
      <c r="E137" s="1">
        <f>3</f>
        <v>3</v>
      </c>
      <c r="F137" s="3">
        <f>Datos!C$3*'Atenuación tomas'!$E137</f>
        <v>0.36</v>
      </c>
      <c r="G137" s="3">
        <f>Datos!D$3*'Atenuación tomas'!$E137</f>
        <v>0.44999999999999996</v>
      </c>
    </row>
    <row r="138" spans="3:7" x14ac:dyDescent="0.25">
      <c r="D138" s="2" t="s">
        <v>50</v>
      </c>
      <c r="F138" s="3">
        <f>Datos!C$5</f>
        <v>0.8</v>
      </c>
      <c r="G138" s="3">
        <f>Datos!D$5</f>
        <v>0.8</v>
      </c>
    </row>
    <row r="139" spans="3:7" x14ac:dyDescent="0.25">
      <c r="D139" s="2" t="s">
        <v>51</v>
      </c>
      <c r="E139" s="1">
        <f>2.85</f>
        <v>2.85</v>
      </c>
      <c r="F139" s="3">
        <f>Datos!C$3*'Atenuación tomas'!$E139</f>
        <v>0.34199999999999997</v>
      </c>
      <c r="G139" s="3">
        <f>Datos!D$3*'Atenuación tomas'!$E139</f>
        <v>0.42749999999999999</v>
      </c>
    </row>
    <row r="140" spans="3:7" x14ac:dyDescent="0.25">
      <c r="D140" s="2" t="s">
        <v>18</v>
      </c>
      <c r="F140" s="3">
        <f>Datos!C$6</f>
        <v>21</v>
      </c>
      <c r="G140" s="3">
        <f>Datos!D$6</f>
        <v>21</v>
      </c>
    </row>
    <row r="141" spans="3:7" x14ac:dyDescent="0.25">
      <c r="D141" s="2" t="s">
        <v>52</v>
      </c>
      <c r="E141" s="1">
        <f>1.12</f>
        <v>1.1200000000000001</v>
      </c>
      <c r="F141" s="3">
        <f>Datos!C$3*'Atenuación tomas'!$E141</f>
        <v>0.13440000000000002</v>
      </c>
      <c r="G141" s="3">
        <f>Datos!D$3*'Atenuación tomas'!$E141</f>
        <v>0.16800000000000001</v>
      </c>
    </row>
    <row r="142" spans="3:7" x14ac:dyDescent="0.25">
      <c r="D142" s="2" t="s">
        <v>55</v>
      </c>
      <c r="F142" s="3">
        <f>Datos!C$19</f>
        <v>13</v>
      </c>
      <c r="G142" s="3">
        <f>Datos!D$19</f>
        <v>13</v>
      </c>
    </row>
    <row r="143" spans="3:7" x14ac:dyDescent="0.25">
      <c r="D143" s="2" t="s">
        <v>63</v>
      </c>
      <c r="E143" s="1">
        <f>6.51</f>
        <v>6.51</v>
      </c>
      <c r="F143" s="3">
        <f>Datos!C$3*'Atenuación tomas'!$E143</f>
        <v>0.78119999999999989</v>
      </c>
      <c r="G143" s="3">
        <f>Datos!D$3*'Atenuación tomas'!$E143</f>
        <v>0.97649999999999992</v>
      </c>
    </row>
    <row r="144" spans="3:7" x14ac:dyDescent="0.25">
      <c r="D144" s="2" t="s">
        <v>22</v>
      </c>
      <c r="F144" s="3">
        <f>Datos!C$21</f>
        <v>4</v>
      </c>
      <c r="G144" s="3">
        <f>Datos!D$21</f>
        <v>4</v>
      </c>
    </row>
    <row r="145" spans="2:7" x14ac:dyDescent="0.25">
      <c r="D145" s="2" t="s">
        <v>26</v>
      </c>
      <c r="F145" s="3">
        <f>SUM(F137:F144)</f>
        <v>40.417599999999993</v>
      </c>
      <c r="G145" s="3">
        <f>SUM(G137:G144)</f>
        <v>40.822000000000003</v>
      </c>
    </row>
    <row r="146" spans="2:7" x14ac:dyDescent="0.25">
      <c r="B146" s="2" t="s">
        <v>30</v>
      </c>
    </row>
    <row r="147" spans="2:7" x14ac:dyDescent="0.25">
      <c r="C147" s="2" t="s">
        <v>64</v>
      </c>
    </row>
    <row r="148" spans="2:7" x14ac:dyDescent="0.25">
      <c r="D148" s="2" t="s">
        <v>17</v>
      </c>
      <c r="E148" s="1">
        <f>3</f>
        <v>3</v>
      </c>
      <c r="F148" s="3">
        <f>Datos!C$3*'Atenuación tomas'!$E148</f>
        <v>0.36</v>
      </c>
      <c r="G148" s="3">
        <f>Datos!D$3*'Atenuación tomas'!$E148</f>
        <v>0.44999999999999996</v>
      </c>
    </row>
    <row r="149" spans="2:7" x14ac:dyDescent="0.25">
      <c r="D149" s="2" t="s">
        <v>50</v>
      </c>
      <c r="F149" s="3">
        <f>Datos!C$5</f>
        <v>0.8</v>
      </c>
      <c r="G149" s="3">
        <f>Datos!D$5</f>
        <v>0.8</v>
      </c>
    </row>
    <row r="150" spans="2:7" x14ac:dyDescent="0.25">
      <c r="D150" s="2" t="s">
        <v>51</v>
      </c>
      <c r="E150" s="1">
        <f>2.85</f>
        <v>2.85</v>
      </c>
      <c r="F150" s="3">
        <f>Datos!C$3*'Atenuación tomas'!$E150</f>
        <v>0.34199999999999997</v>
      </c>
      <c r="G150" s="3">
        <f>Datos!D$3*'Atenuación tomas'!$E150</f>
        <v>0.42749999999999999</v>
      </c>
    </row>
    <row r="151" spans="2:7" x14ac:dyDescent="0.25">
      <c r="D151" s="2" t="s">
        <v>18</v>
      </c>
      <c r="F151" s="3">
        <f>Datos!C$6</f>
        <v>21</v>
      </c>
      <c r="G151" s="3">
        <f>Datos!D$6</f>
        <v>21</v>
      </c>
    </row>
    <row r="152" spans="2:7" x14ac:dyDescent="0.25">
      <c r="D152" s="2" t="s">
        <v>65</v>
      </c>
      <c r="E152" s="1">
        <f>4.49</f>
        <v>4.49</v>
      </c>
      <c r="F152" s="3">
        <f>Datos!C$3*'Atenuación tomas'!$E152</f>
        <v>0.53880000000000006</v>
      </c>
      <c r="G152" s="3">
        <f>Datos!D$3*'Atenuación tomas'!$E152</f>
        <v>0.67349999999999999</v>
      </c>
    </row>
    <row r="153" spans="2:7" x14ac:dyDescent="0.25">
      <c r="D153" s="2" t="s">
        <v>20</v>
      </c>
      <c r="F153" s="3">
        <f>Datos!C$17</f>
        <v>9</v>
      </c>
      <c r="G153" s="3">
        <f>Datos!D$17</f>
        <v>9</v>
      </c>
    </row>
    <row r="154" spans="2:7" x14ac:dyDescent="0.25">
      <c r="D154" s="2" t="s">
        <v>66</v>
      </c>
      <c r="E154" s="1">
        <f>4.2</f>
        <v>4.2</v>
      </c>
      <c r="F154" s="3">
        <f>Datos!C$3*'Atenuación tomas'!$E154</f>
        <v>0.504</v>
      </c>
      <c r="G154" s="3">
        <f>Datos!D$3*'Atenuación tomas'!$E154</f>
        <v>0.63</v>
      </c>
    </row>
    <row r="155" spans="2:7" x14ac:dyDescent="0.25">
      <c r="D155" s="2" t="s">
        <v>22</v>
      </c>
      <c r="F155" s="3">
        <f>Datos!C$21</f>
        <v>4</v>
      </c>
      <c r="G155" s="3">
        <f>Datos!D$21</f>
        <v>4</v>
      </c>
    </row>
    <row r="156" spans="2:7" x14ac:dyDescent="0.25">
      <c r="D156" s="2" t="s">
        <v>26</v>
      </c>
      <c r="F156" s="3">
        <f>SUM(F148:F155)</f>
        <v>36.544799999999995</v>
      </c>
      <c r="G156" s="3">
        <f>SUM(G148:G155)</f>
        <v>36.981000000000002</v>
      </c>
    </row>
    <row r="157" spans="2:7" x14ac:dyDescent="0.25">
      <c r="C157" s="2" t="s">
        <v>67</v>
      </c>
    </row>
    <row r="158" spans="2:7" x14ac:dyDescent="0.25">
      <c r="D158" s="2" t="s">
        <v>17</v>
      </c>
      <c r="E158" s="1">
        <f>3</f>
        <v>3</v>
      </c>
      <c r="F158" s="3">
        <f>Datos!C$3*'Atenuación tomas'!$E158</f>
        <v>0.36</v>
      </c>
      <c r="G158" s="3">
        <f>Datos!D$3*'Atenuación tomas'!$E158</f>
        <v>0.44999999999999996</v>
      </c>
    </row>
    <row r="159" spans="2:7" x14ac:dyDescent="0.25">
      <c r="D159" s="2" t="s">
        <v>50</v>
      </c>
      <c r="F159" s="3">
        <f>Datos!C$5</f>
        <v>0.8</v>
      </c>
      <c r="G159" s="3">
        <f>Datos!D$5</f>
        <v>0.8</v>
      </c>
    </row>
    <row r="160" spans="2:7" x14ac:dyDescent="0.25">
      <c r="D160" s="2" t="s">
        <v>51</v>
      </c>
      <c r="E160" s="1">
        <f>2.85</f>
        <v>2.85</v>
      </c>
      <c r="F160" s="3">
        <f>Datos!C$3*'Atenuación tomas'!$E160</f>
        <v>0.34199999999999997</v>
      </c>
      <c r="G160" s="3">
        <f>Datos!D$3*'Atenuación tomas'!$E160</f>
        <v>0.42749999999999999</v>
      </c>
    </row>
    <row r="161" spans="3:7" x14ac:dyDescent="0.25">
      <c r="D161" s="2" t="s">
        <v>18</v>
      </c>
      <c r="F161" s="3">
        <f>Datos!C$6</f>
        <v>21</v>
      </c>
      <c r="G161" s="3">
        <f>Datos!D$6</f>
        <v>21</v>
      </c>
    </row>
    <row r="162" spans="3:7" x14ac:dyDescent="0.25">
      <c r="D162" s="2" t="s">
        <v>65</v>
      </c>
      <c r="E162" s="1">
        <f>4.49</f>
        <v>4.49</v>
      </c>
      <c r="F162" s="3">
        <f>Datos!C$3*'Atenuación tomas'!$E162</f>
        <v>0.53880000000000006</v>
      </c>
      <c r="G162" s="3">
        <f>Datos!D$3*'Atenuación tomas'!$E162</f>
        <v>0.67349999999999999</v>
      </c>
    </row>
    <row r="163" spans="3:7" x14ac:dyDescent="0.25">
      <c r="D163" s="2" t="s">
        <v>20</v>
      </c>
      <c r="F163" s="3">
        <f>Datos!C$17</f>
        <v>9</v>
      </c>
      <c r="G163" s="3">
        <f>Datos!D$17</f>
        <v>9</v>
      </c>
    </row>
    <row r="164" spans="3:7" x14ac:dyDescent="0.25">
      <c r="D164" s="2" t="s">
        <v>72</v>
      </c>
      <c r="E164" s="1">
        <f>4.9</f>
        <v>4.9000000000000004</v>
      </c>
      <c r="F164" s="3">
        <f>Datos!C$3*'Atenuación tomas'!$E164</f>
        <v>0.58799999999999997</v>
      </c>
      <c r="G164" s="3">
        <f>Datos!D$3*'Atenuación tomas'!$E164</f>
        <v>0.73499999999999999</v>
      </c>
    </row>
    <row r="165" spans="3:7" x14ac:dyDescent="0.25">
      <c r="D165" s="2" t="s">
        <v>22</v>
      </c>
      <c r="F165" s="3">
        <f>Datos!C$21</f>
        <v>4</v>
      </c>
      <c r="G165" s="3">
        <f>Datos!D$21</f>
        <v>4</v>
      </c>
    </row>
    <row r="166" spans="3:7" x14ac:dyDescent="0.25">
      <c r="D166" s="2" t="s">
        <v>26</v>
      </c>
      <c r="F166" s="3">
        <f>SUM(F158:F165)</f>
        <v>36.628799999999998</v>
      </c>
      <c r="G166" s="3">
        <f>SUM(G158:G165)</f>
        <v>37.085999999999999</v>
      </c>
    </row>
    <row r="167" spans="3:7" x14ac:dyDescent="0.25">
      <c r="C167" s="2" t="s">
        <v>68</v>
      </c>
    </row>
    <row r="168" spans="3:7" x14ac:dyDescent="0.25">
      <c r="D168" s="2" t="s">
        <v>17</v>
      </c>
      <c r="E168" s="1">
        <f>3</f>
        <v>3</v>
      </c>
      <c r="F168" s="3">
        <f>Datos!C$3*'Atenuación tomas'!$E168</f>
        <v>0.36</v>
      </c>
      <c r="G168" s="3">
        <f>Datos!D$3*'Atenuación tomas'!$E168</f>
        <v>0.44999999999999996</v>
      </c>
    </row>
    <row r="169" spans="3:7" x14ac:dyDescent="0.25">
      <c r="D169" s="2" t="s">
        <v>50</v>
      </c>
      <c r="F169" s="3">
        <f>Datos!C$5</f>
        <v>0.8</v>
      </c>
      <c r="G169" s="3">
        <f>Datos!D$5</f>
        <v>0.8</v>
      </c>
    </row>
    <row r="170" spans="3:7" x14ac:dyDescent="0.25">
      <c r="D170" s="2" t="s">
        <v>51</v>
      </c>
      <c r="E170" s="1">
        <f>2.85</f>
        <v>2.85</v>
      </c>
      <c r="F170" s="3">
        <f>Datos!C$3*'Atenuación tomas'!$E170</f>
        <v>0.34199999999999997</v>
      </c>
      <c r="G170" s="3">
        <f>Datos!D$3*'Atenuación tomas'!$E170</f>
        <v>0.42749999999999999</v>
      </c>
    </row>
    <row r="171" spans="3:7" x14ac:dyDescent="0.25">
      <c r="D171" s="2" t="s">
        <v>18</v>
      </c>
      <c r="F171" s="3">
        <f>Datos!C$6</f>
        <v>21</v>
      </c>
      <c r="G171" s="3">
        <f>Datos!D$6</f>
        <v>21</v>
      </c>
    </row>
    <row r="172" spans="3:7" x14ac:dyDescent="0.25">
      <c r="D172" s="2" t="s">
        <v>65</v>
      </c>
      <c r="E172" s="1">
        <f>4.49</f>
        <v>4.49</v>
      </c>
      <c r="F172" s="3">
        <f>Datos!C$3*'Atenuación tomas'!$E172</f>
        <v>0.53880000000000006</v>
      </c>
      <c r="G172" s="3">
        <f>Datos!D$3*'Atenuación tomas'!$E172</f>
        <v>0.67349999999999999</v>
      </c>
    </row>
    <row r="173" spans="3:7" x14ac:dyDescent="0.25">
      <c r="D173" s="2" t="s">
        <v>20</v>
      </c>
      <c r="F173" s="3">
        <f>Datos!C$17</f>
        <v>9</v>
      </c>
      <c r="G173" s="3">
        <f>Datos!D$17</f>
        <v>9</v>
      </c>
    </row>
    <row r="174" spans="3:7" x14ac:dyDescent="0.25">
      <c r="D174" s="2" t="s">
        <v>71</v>
      </c>
      <c r="E174" s="1">
        <f>9.49</f>
        <v>9.49</v>
      </c>
      <c r="F174" s="3">
        <f>Datos!C$3*'Atenuación tomas'!$E174</f>
        <v>1.1388</v>
      </c>
      <c r="G174" s="3">
        <f>Datos!D$3*'Atenuación tomas'!$E174</f>
        <v>1.4235</v>
      </c>
    </row>
    <row r="175" spans="3:7" x14ac:dyDescent="0.25">
      <c r="D175" s="2" t="s">
        <v>22</v>
      </c>
      <c r="F175" s="3">
        <f>Datos!C$21</f>
        <v>4</v>
      </c>
      <c r="G175" s="3">
        <f>Datos!D$21</f>
        <v>4</v>
      </c>
    </row>
    <row r="176" spans="3:7" x14ac:dyDescent="0.25">
      <c r="D176" s="2" t="s">
        <v>26</v>
      </c>
      <c r="F176" s="3">
        <f>SUM(F168:F175)</f>
        <v>37.179600000000001</v>
      </c>
      <c r="G176" s="3">
        <f>SUM(G168:G175)</f>
        <v>37.774499999999996</v>
      </c>
    </row>
    <row r="177" spans="2:7" x14ac:dyDescent="0.25">
      <c r="C177" s="2" t="s">
        <v>69</v>
      </c>
    </row>
    <row r="178" spans="2:7" x14ac:dyDescent="0.25">
      <c r="D178" s="2" t="s">
        <v>17</v>
      </c>
      <c r="E178" s="1">
        <f>3</f>
        <v>3</v>
      </c>
      <c r="F178" s="3">
        <f>Datos!C$3*'Atenuación tomas'!$E178</f>
        <v>0.36</v>
      </c>
      <c r="G178" s="3">
        <f>Datos!D$3*'Atenuación tomas'!$E178</f>
        <v>0.44999999999999996</v>
      </c>
    </row>
    <row r="179" spans="2:7" x14ac:dyDescent="0.25">
      <c r="D179" s="2" t="s">
        <v>50</v>
      </c>
      <c r="F179" s="3">
        <f>Datos!C$5</f>
        <v>0.8</v>
      </c>
      <c r="G179" s="3">
        <f>Datos!D$5</f>
        <v>0.8</v>
      </c>
    </row>
    <row r="180" spans="2:7" x14ac:dyDescent="0.25">
      <c r="D180" s="2" t="s">
        <v>51</v>
      </c>
      <c r="E180" s="1">
        <f>2.85</f>
        <v>2.85</v>
      </c>
      <c r="F180" s="3">
        <f>Datos!C$3*'Atenuación tomas'!$E180</f>
        <v>0.34199999999999997</v>
      </c>
      <c r="G180" s="3">
        <f>Datos!D$3*'Atenuación tomas'!$E180</f>
        <v>0.42749999999999999</v>
      </c>
    </row>
    <row r="181" spans="2:7" x14ac:dyDescent="0.25">
      <c r="D181" s="2" t="s">
        <v>18</v>
      </c>
      <c r="F181" s="3">
        <f>Datos!C$6</f>
        <v>21</v>
      </c>
      <c r="G181" s="3">
        <f>Datos!D$6</f>
        <v>21</v>
      </c>
    </row>
    <row r="182" spans="2:7" x14ac:dyDescent="0.25">
      <c r="D182" s="2" t="s">
        <v>65</v>
      </c>
      <c r="E182" s="1">
        <f>4.49</f>
        <v>4.49</v>
      </c>
      <c r="F182" s="3">
        <f>Datos!C$3*'Atenuación tomas'!$E182</f>
        <v>0.53880000000000006</v>
      </c>
      <c r="G182" s="3">
        <f>Datos!D$3*'Atenuación tomas'!$E182</f>
        <v>0.67349999999999999</v>
      </c>
    </row>
    <row r="183" spans="2:7" x14ac:dyDescent="0.25">
      <c r="D183" s="2" t="s">
        <v>20</v>
      </c>
      <c r="F183" s="3">
        <f>Datos!C$17</f>
        <v>9</v>
      </c>
      <c r="G183" s="3">
        <f>Datos!D$17</f>
        <v>9</v>
      </c>
    </row>
    <row r="184" spans="2:7" x14ac:dyDescent="0.25">
      <c r="D184" s="2" t="s">
        <v>70</v>
      </c>
      <c r="E184" s="1">
        <f>9.7</f>
        <v>9.6999999999999993</v>
      </c>
      <c r="F184" s="3">
        <f>Datos!C$3*'Atenuación tomas'!$E184</f>
        <v>1.1639999999999999</v>
      </c>
      <c r="G184" s="3">
        <f>Datos!D$3*'Atenuación tomas'!$E184</f>
        <v>1.4549999999999998</v>
      </c>
    </row>
    <row r="185" spans="2:7" x14ac:dyDescent="0.25">
      <c r="D185" s="2" t="s">
        <v>22</v>
      </c>
      <c r="F185" s="3">
        <f>Datos!C$21</f>
        <v>4</v>
      </c>
      <c r="G185" s="3">
        <f>Datos!D$21</f>
        <v>4</v>
      </c>
    </row>
    <row r="186" spans="2:7" x14ac:dyDescent="0.25">
      <c r="D186" s="2" t="s">
        <v>26</v>
      </c>
      <c r="F186" s="3">
        <f>SUM(F178:F185)</f>
        <v>37.204799999999999</v>
      </c>
      <c r="G186" s="3">
        <f>SUM(G178:G185)</f>
        <v>37.805999999999997</v>
      </c>
    </row>
    <row r="187" spans="2:7" x14ac:dyDescent="0.25">
      <c r="B187" s="2" t="s">
        <v>38</v>
      </c>
    </row>
    <row r="188" spans="2:7" x14ac:dyDescent="0.25">
      <c r="C188" s="2" t="s">
        <v>73</v>
      </c>
    </row>
    <row r="189" spans="2:7" x14ac:dyDescent="0.25">
      <c r="D189" s="2" t="s">
        <v>17</v>
      </c>
      <c r="E189" s="1">
        <f>3</f>
        <v>3</v>
      </c>
      <c r="F189" s="3">
        <f>Datos!C$3*'Atenuación tomas'!$E189</f>
        <v>0.36</v>
      </c>
      <c r="G189" s="3">
        <f>Datos!D$3*'Atenuación tomas'!$E189</f>
        <v>0.44999999999999996</v>
      </c>
    </row>
    <row r="190" spans="2:7" x14ac:dyDescent="0.25">
      <c r="D190" s="2" t="s">
        <v>50</v>
      </c>
      <c r="F190" s="3">
        <f>Datos!C$5</f>
        <v>0.8</v>
      </c>
      <c r="G190" s="3">
        <f>Datos!D$5</f>
        <v>0.8</v>
      </c>
    </row>
    <row r="191" spans="2:7" x14ac:dyDescent="0.25">
      <c r="D191" s="2" t="s">
        <v>51</v>
      </c>
      <c r="E191" s="1">
        <f>2.85</f>
        <v>2.85</v>
      </c>
      <c r="F191" s="3">
        <f>Datos!C$3*'Atenuación tomas'!$E191</f>
        <v>0.34199999999999997</v>
      </c>
      <c r="G191" s="3">
        <f>Datos!D$3*'Atenuación tomas'!$E191</f>
        <v>0.42749999999999999</v>
      </c>
    </row>
    <row r="192" spans="2:7" x14ac:dyDescent="0.25">
      <c r="D192" s="2" t="s">
        <v>18</v>
      </c>
      <c r="F192" s="3">
        <f>Datos!C$6</f>
        <v>21</v>
      </c>
      <c r="G192" s="3">
        <f>Datos!D$6</f>
        <v>21</v>
      </c>
    </row>
    <row r="193" spans="3:7" x14ac:dyDescent="0.25">
      <c r="D193" s="2" t="s">
        <v>74</v>
      </c>
      <c r="E193" s="1">
        <f>4.84</f>
        <v>4.84</v>
      </c>
      <c r="F193" s="3">
        <f>Datos!C$3*'Atenuación tomas'!$E193</f>
        <v>0.58079999999999998</v>
      </c>
      <c r="G193" s="3">
        <f>Datos!D$3*'Atenuación tomas'!$E193</f>
        <v>0.72599999999999998</v>
      </c>
    </row>
    <row r="194" spans="3:7" x14ac:dyDescent="0.25">
      <c r="D194" s="2" t="s">
        <v>55</v>
      </c>
      <c r="F194" s="3">
        <f>Datos!C$19</f>
        <v>13</v>
      </c>
      <c r="G194" s="3">
        <f>Datos!D$19</f>
        <v>13</v>
      </c>
    </row>
    <row r="195" spans="3:7" x14ac:dyDescent="0.25">
      <c r="D195" s="2" t="s">
        <v>75</v>
      </c>
      <c r="E195" s="1">
        <f>9.03</f>
        <v>9.0299999999999994</v>
      </c>
      <c r="F195" s="3">
        <f>Datos!C$3*'Atenuación tomas'!$E195</f>
        <v>1.0835999999999999</v>
      </c>
      <c r="G195" s="3">
        <f>Datos!D$3*'Atenuación tomas'!$E195</f>
        <v>1.3544999999999998</v>
      </c>
    </row>
    <row r="196" spans="3:7" x14ac:dyDescent="0.25">
      <c r="D196" s="2" t="s">
        <v>22</v>
      </c>
      <c r="F196" s="3">
        <f>Datos!C$21</f>
        <v>4</v>
      </c>
      <c r="G196" s="3">
        <f>Datos!D$21</f>
        <v>4</v>
      </c>
    </row>
    <row r="197" spans="3:7" x14ac:dyDescent="0.25">
      <c r="D197" s="2" t="s">
        <v>26</v>
      </c>
      <c r="F197" s="3">
        <f>SUM(F189:F196)</f>
        <v>41.166399999999996</v>
      </c>
      <c r="G197" s="3">
        <f>SUM(G189:G196)</f>
        <v>41.757999999999996</v>
      </c>
    </row>
    <row r="198" spans="3:7" x14ac:dyDescent="0.25">
      <c r="C198" s="2" t="s">
        <v>76</v>
      </c>
    </row>
    <row r="199" spans="3:7" x14ac:dyDescent="0.25">
      <c r="D199" s="2" t="s">
        <v>17</v>
      </c>
      <c r="E199" s="1">
        <f>3</f>
        <v>3</v>
      </c>
      <c r="F199" s="3">
        <f>Datos!C$3*'Atenuación tomas'!$E199</f>
        <v>0.36</v>
      </c>
      <c r="G199" s="3">
        <f>Datos!D$3*'Atenuación tomas'!$E199</f>
        <v>0.44999999999999996</v>
      </c>
    </row>
    <row r="200" spans="3:7" x14ac:dyDescent="0.25">
      <c r="D200" s="2" t="s">
        <v>50</v>
      </c>
      <c r="F200" s="3">
        <f>Datos!C$5</f>
        <v>0.8</v>
      </c>
      <c r="G200" s="3">
        <f>Datos!D$5</f>
        <v>0.8</v>
      </c>
    </row>
    <row r="201" spans="3:7" x14ac:dyDescent="0.25">
      <c r="D201" s="2" t="s">
        <v>51</v>
      </c>
      <c r="E201" s="1">
        <f>2.85</f>
        <v>2.85</v>
      </c>
      <c r="F201" s="3">
        <f>Datos!C$3*'Atenuación tomas'!$E201</f>
        <v>0.34199999999999997</v>
      </c>
      <c r="G201" s="3">
        <f>Datos!D$3*'Atenuación tomas'!$E201</f>
        <v>0.42749999999999999</v>
      </c>
    </row>
    <row r="202" spans="3:7" x14ac:dyDescent="0.25">
      <c r="D202" s="2" t="s">
        <v>18</v>
      </c>
      <c r="F202" s="3">
        <f>Datos!C$6</f>
        <v>21</v>
      </c>
      <c r="G202" s="3">
        <f>Datos!D$6</f>
        <v>21</v>
      </c>
    </row>
    <row r="203" spans="3:7" x14ac:dyDescent="0.25">
      <c r="D203" s="2" t="s">
        <v>74</v>
      </c>
      <c r="E203" s="1">
        <f>4.84</f>
        <v>4.84</v>
      </c>
      <c r="F203" s="3">
        <f>Datos!C$3*'Atenuación tomas'!$E203</f>
        <v>0.58079999999999998</v>
      </c>
      <c r="G203" s="3">
        <f>Datos!D$3*'Atenuación tomas'!$E203</f>
        <v>0.72599999999999998</v>
      </c>
    </row>
    <row r="204" spans="3:7" x14ac:dyDescent="0.25">
      <c r="D204" s="2" t="s">
        <v>55</v>
      </c>
      <c r="F204" s="3">
        <f>Datos!C$19</f>
        <v>13</v>
      </c>
      <c r="G204" s="3">
        <f>Datos!D$19</f>
        <v>13</v>
      </c>
    </row>
    <row r="205" spans="3:7" x14ac:dyDescent="0.25">
      <c r="D205" s="2" t="s">
        <v>80</v>
      </c>
      <c r="E205" s="1">
        <f>4.31</f>
        <v>4.3099999999999996</v>
      </c>
      <c r="F205" s="3">
        <f>Datos!C$3*'Atenuación tomas'!$E205</f>
        <v>0.51719999999999988</v>
      </c>
      <c r="G205" s="3">
        <f>Datos!D$3*'Atenuación tomas'!$E205</f>
        <v>0.64649999999999996</v>
      </c>
    </row>
    <row r="206" spans="3:7" x14ac:dyDescent="0.25">
      <c r="D206" s="2" t="s">
        <v>22</v>
      </c>
      <c r="F206" s="3">
        <f>Datos!C$21</f>
        <v>4</v>
      </c>
      <c r="G206" s="3">
        <f>Datos!D$21</f>
        <v>4</v>
      </c>
    </row>
    <row r="207" spans="3:7" x14ac:dyDescent="0.25">
      <c r="D207" s="2" t="s">
        <v>26</v>
      </c>
      <c r="F207" s="3">
        <f>SUM(F199:F206)</f>
        <v>40.6</v>
      </c>
      <c r="G207" s="3">
        <f>SUM(G199:G206)</f>
        <v>41.05</v>
      </c>
    </row>
    <row r="208" spans="3:7" x14ac:dyDescent="0.25">
      <c r="C208" s="2" t="s">
        <v>77</v>
      </c>
    </row>
    <row r="209" spans="3:7" x14ac:dyDescent="0.25">
      <c r="D209" s="2" t="s">
        <v>17</v>
      </c>
      <c r="E209" s="1">
        <f>3</f>
        <v>3</v>
      </c>
      <c r="F209" s="3">
        <f>Datos!C$3*'Atenuación tomas'!$E209</f>
        <v>0.36</v>
      </c>
      <c r="G209" s="3">
        <f>Datos!D$3*'Atenuación tomas'!$E209</f>
        <v>0.44999999999999996</v>
      </c>
    </row>
    <row r="210" spans="3:7" x14ac:dyDescent="0.25">
      <c r="D210" s="2" t="s">
        <v>50</v>
      </c>
      <c r="F210" s="3">
        <f>Datos!C$5</f>
        <v>0.8</v>
      </c>
      <c r="G210" s="3">
        <f>Datos!D$5</f>
        <v>0.8</v>
      </c>
    </row>
    <row r="211" spans="3:7" x14ac:dyDescent="0.25">
      <c r="D211" s="2" t="s">
        <v>51</v>
      </c>
      <c r="E211" s="1">
        <f>2.85</f>
        <v>2.85</v>
      </c>
      <c r="F211" s="3">
        <f>Datos!C$3*'Atenuación tomas'!$E211</f>
        <v>0.34199999999999997</v>
      </c>
      <c r="G211" s="3">
        <f>Datos!D$3*'Atenuación tomas'!$E211</f>
        <v>0.42749999999999999</v>
      </c>
    </row>
    <row r="212" spans="3:7" x14ac:dyDescent="0.25">
      <c r="D212" s="2" t="s">
        <v>18</v>
      </c>
      <c r="F212" s="3">
        <f>Datos!C$6</f>
        <v>21</v>
      </c>
      <c r="G212" s="3">
        <f>Datos!D$6</f>
        <v>21</v>
      </c>
    </row>
    <row r="213" spans="3:7" x14ac:dyDescent="0.25">
      <c r="D213" s="2" t="s">
        <v>74</v>
      </c>
      <c r="E213" s="1">
        <f>4.84</f>
        <v>4.84</v>
      </c>
      <c r="F213" s="3">
        <f>Datos!C$3*'Atenuación tomas'!$E213</f>
        <v>0.58079999999999998</v>
      </c>
      <c r="G213" s="3">
        <f>Datos!D$3*'Atenuación tomas'!$E213</f>
        <v>0.72599999999999998</v>
      </c>
    </row>
    <row r="214" spans="3:7" x14ac:dyDescent="0.25">
      <c r="D214" s="2" t="s">
        <v>55</v>
      </c>
      <c r="F214" s="3">
        <f>Datos!C$19</f>
        <v>13</v>
      </c>
      <c r="G214" s="3">
        <f>Datos!D$19</f>
        <v>13</v>
      </c>
    </row>
    <row r="215" spans="3:7" x14ac:dyDescent="0.25">
      <c r="D215" s="2" t="s">
        <v>81</v>
      </c>
      <c r="E215" s="1">
        <f>7.35</f>
        <v>7.35</v>
      </c>
      <c r="F215" s="3">
        <f>Datos!C$3*'Atenuación tomas'!$E215</f>
        <v>0.8819999999999999</v>
      </c>
      <c r="G215" s="3">
        <f>Datos!D$3*'Atenuación tomas'!$E215</f>
        <v>1.1024999999999998</v>
      </c>
    </row>
    <row r="216" spans="3:7" x14ac:dyDescent="0.25">
      <c r="D216" s="2" t="s">
        <v>22</v>
      </c>
      <c r="F216" s="3">
        <f>Datos!C$21</f>
        <v>4</v>
      </c>
      <c r="G216" s="3">
        <f>Datos!D$21</f>
        <v>4</v>
      </c>
    </row>
    <row r="217" spans="3:7" x14ac:dyDescent="0.25">
      <c r="D217" s="2" t="s">
        <v>26</v>
      </c>
      <c r="F217" s="3">
        <f>SUM(F209:F216)</f>
        <v>40.964799999999997</v>
      </c>
      <c r="G217" s="3">
        <f>SUM(G209:G216)</f>
        <v>41.505999999999993</v>
      </c>
    </row>
    <row r="218" spans="3:7" x14ac:dyDescent="0.25">
      <c r="C218" s="2" t="s">
        <v>78</v>
      </c>
    </row>
    <row r="219" spans="3:7" x14ac:dyDescent="0.25">
      <c r="D219" s="2" t="s">
        <v>17</v>
      </c>
      <c r="E219" s="1">
        <f>3</f>
        <v>3</v>
      </c>
      <c r="F219" s="3">
        <f>Datos!C$3*'Atenuación tomas'!$E219</f>
        <v>0.36</v>
      </c>
      <c r="G219" s="3">
        <f>Datos!D$3*'Atenuación tomas'!$E219</f>
        <v>0.44999999999999996</v>
      </c>
    </row>
    <row r="220" spans="3:7" x14ac:dyDescent="0.25">
      <c r="D220" s="2" t="s">
        <v>50</v>
      </c>
      <c r="F220" s="3">
        <f>Datos!C$5</f>
        <v>0.8</v>
      </c>
      <c r="G220" s="3">
        <f>Datos!D$5</f>
        <v>0.8</v>
      </c>
    </row>
    <row r="221" spans="3:7" x14ac:dyDescent="0.25">
      <c r="D221" s="2" t="s">
        <v>51</v>
      </c>
      <c r="E221" s="1">
        <f>2.85</f>
        <v>2.85</v>
      </c>
      <c r="F221" s="3">
        <f>Datos!C$3*'Atenuación tomas'!$E221</f>
        <v>0.34199999999999997</v>
      </c>
      <c r="G221" s="3">
        <f>Datos!D$3*'Atenuación tomas'!$E221</f>
        <v>0.42749999999999999</v>
      </c>
    </row>
    <row r="222" spans="3:7" x14ac:dyDescent="0.25">
      <c r="D222" s="2" t="s">
        <v>18</v>
      </c>
      <c r="F222" s="3">
        <f>Datos!C$6</f>
        <v>21</v>
      </c>
      <c r="G222" s="3">
        <f>Datos!D$6</f>
        <v>21</v>
      </c>
    </row>
    <row r="223" spans="3:7" x14ac:dyDescent="0.25">
      <c r="D223" s="2" t="s">
        <v>74</v>
      </c>
      <c r="E223" s="1">
        <f>4.84</f>
        <v>4.84</v>
      </c>
      <c r="F223" s="3">
        <f>Datos!C$3*'Atenuación tomas'!$E223</f>
        <v>0.58079999999999998</v>
      </c>
      <c r="G223" s="3">
        <f>Datos!D$3*'Atenuación tomas'!$E223</f>
        <v>0.72599999999999998</v>
      </c>
    </row>
    <row r="224" spans="3:7" x14ac:dyDescent="0.25">
      <c r="D224" s="2" t="s">
        <v>55</v>
      </c>
      <c r="F224" s="3">
        <f>Datos!C$19</f>
        <v>13</v>
      </c>
      <c r="G224" s="3">
        <f>Datos!D$19</f>
        <v>13</v>
      </c>
    </row>
    <row r="225" spans="1:7" x14ac:dyDescent="0.25">
      <c r="D225" s="2" t="s">
        <v>82</v>
      </c>
      <c r="E225" s="1">
        <f>8.51</f>
        <v>8.51</v>
      </c>
      <c r="F225" s="3">
        <f>Datos!C$3*'Atenuación tomas'!$E225</f>
        <v>1.0211999999999999</v>
      </c>
      <c r="G225" s="3">
        <f>Datos!D$3*'Atenuación tomas'!$E225</f>
        <v>1.2765</v>
      </c>
    </row>
    <row r="226" spans="1:7" x14ac:dyDescent="0.25">
      <c r="D226" s="2" t="s">
        <v>22</v>
      </c>
      <c r="F226" s="3">
        <f>Datos!C$21</f>
        <v>4</v>
      </c>
      <c r="G226" s="3">
        <f>Datos!D$21</f>
        <v>4</v>
      </c>
    </row>
    <row r="227" spans="1:7" x14ac:dyDescent="0.25">
      <c r="D227" s="2" t="s">
        <v>26</v>
      </c>
      <c r="F227" s="3">
        <f>SUM(F219:F226)</f>
        <v>41.103999999999999</v>
      </c>
      <c r="G227" s="3">
        <f>SUM(G219:G226)</f>
        <v>41.679999999999993</v>
      </c>
    </row>
    <row r="228" spans="1:7" x14ac:dyDescent="0.25">
      <c r="C228" s="2" t="s">
        <v>79</v>
      </c>
    </row>
    <row r="229" spans="1:7" x14ac:dyDescent="0.25">
      <c r="D229" s="2" t="s">
        <v>17</v>
      </c>
      <c r="E229" s="1">
        <f>3</f>
        <v>3</v>
      </c>
      <c r="F229" s="3">
        <f>Datos!C$3*'Atenuación tomas'!$E229</f>
        <v>0.36</v>
      </c>
      <c r="G229" s="3">
        <f>Datos!D$3*'Atenuación tomas'!$E229</f>
        <v>0.44999999999999996</v>
      </c>
    </row>
    <row r="230" spans="1:7" x14ac:dyDescent="0.25">
      <c r="D230" s="2" t="s">
        <v>50</v>
      </c>
      <c r="F230" s="3">
        <f>Datos!C$5</f>
        <v>0.8</v>
      </c>
      <c r="G230" s="3">
        <f>Datos!D$5</f>
        <v>0.8</v>
      </c>
    </row>
    <row r="231" spans="1:7" x14ac:dyDescent="0.25">
      <c r="D231" s="2" t="s">
        <v>51</v>
      </c>
      <c r="E231" s="1">
        <f>2.85</f>
        <v>2.85</v>
      </c>
      <c r="F231" s="3">
        <f>Datos!C$3*'Atenuación tomas'!$E231</f>
        <v>0.34199999999999997</v>
      </c>
      <c r="G231" s="3">
        <f>Datos!D$3*'Atenuación tomas'!$E231</f>
        <v>0.42749999999999999</v>
      </c>
    </row>
    <row r="232" spans="1:7" x14ac:dyDescent="0.25">
      <c r="D232" s="2" t="s">
        <v>18</v>
      </c>
      <c r="F232" s="3">
        <f>Datos!C$6</f>
        <v>21</v>
      </c>
      <c r="G232" s="3">
        <f>Datos!D$6</f>
        <v>21</v>
      </c>
    </row>
    <row r="233" spans="1:7" x14ac:dyDescent="0.25">
      <c r="D233" s="2" t="s">
        <v>74</v>
      </c>
      <c r="E233" s="1">
        <f>4.84</f>
        <v>4.84</v>
      </c>
      <c r="F233" s="3">
        <f>Datos!C$3*'Atenuación tomas'!$E233</f>
        <v>0.58079999999999998</v>
      </c>
      <c r="G233" s="3">
        <f>Datos!D$3*'Atenuación tomas'!$E233</f>
        <v>0.72599999999999998</v>
      </c>
    </row>
    <row r="234" spans="1:7" x14ac:dyDescent="0.25">
      <c r="D234" s="2" t="s">
        <v>55</v>
      </c>
      <c r="F234" s="3">
        <f>Datos!C$19</f>
        <v>13</v>
      </c>
      <c r="G234" s="3">
        <f>Datos!D$19</f>
        <v>13</v>
      </c>
    </row>
    <row r="235" spans="1:7" x14ac:dyDescent="0.25">
      <c r="D235" s="2" t="s">
        <v>83</v>
      </c>
      <c r="E235" s="1">
        <f>10.12</f>
        <v>10.119999999999999</v>
      </c>
      <c r="F235" s="3">
        <f>Datos!C$3*'Atenuación tomas'!$E235</f>
        <v>1.2143999999999999</v>
      </c>
      <c r="G235" s="3">
        <f>Datos!D$3*'Atenuación tomas'!$E235</f>
        <v>1.5179999999999998</v>
      </c>
    </row>
    <row r="236" spans="1:7" x14ac:dyDescent="0.25">
      <c r="D236" s="2" t="s">
        <v>22</v>
      </c>
      <c r="F236" s="3">
        <f>Datos!C$21</f>
        <v>4</v>
      </c>
      <c r="G236" s="3">
        <f>Datos!D$21</f>
        <v>4</v>
      </c>
    </row>
    <row r="237" spans="1:7" x14ac:dyDescent="0.25">
      <c r="D237" s="2" t="s">
        <v>26</v>
      </c>
      <c r="F237" s="3">
        <f>SUM(F229:F236)</f>
        <v>41.297199999999997</v>
      </c>
      <c r="G237" s="3">
        <f>SUM(G229:G236)</f>
        <v>41.921499999999995</v>
      </c>
    </row>
    <row r="238" spans="1:7" x14ac:dyDescent="0.25">
      <c r="A238" s="2" t="s">
        <v>84</v>
      </c>
    </row>
    <row r="239" spans="1:7" x14ac:dyDescent="0.25">
      <c r="B239" s="2" t="s">
        <v>14</v>
      </c>
    </row>
    <row r="240" spans="1:7" x14ac:dyDescent="0.25">
      <c r="C240" s="2" t="s">
        <v>85</v>
      </c>
    </row>
    <row r="241" spans="3:7" x14ac:dyDescent="0.25">
      <c r="D241" s="2" t="s">
        <v>17</v>
      </c>
      <c r="E241" s="1">
        <f>3</f>
        <v>3</v>
      </c>
      <c r="F241" s="3">
        <f>Datos!C$3*'Atenuación tomas'!$E241</f>
        <v>0.36</v>
      </c>
      <c r="G241" s="3">
        <f>Datos!D$3*'Atenuación tomas'!$E241</f>
        <v>0.44999999999999996</v>
      </c>
    </row>
    <row r="242" spans="3:7" x14ac:dyDescent="0.25">
      <c r="D242" s="2" t="s">
        <v>50</v>
      </c>
      <c r="F242" s="3">
        <f>Datos!C$5</f>
        <v>0.8</v>
      </c>
      <c r="G242" s="3">
        <f>Datos!D$5</f>
        <v>0.8</v>
      </c>
    </row>
    <row r="243" spans="3:7" x14ac:dyDescent="0.25">
      <c r="D243" s="2" t="s">
        <v>51</v>
      </c>
      <c r="E243" s="1">
        <f>2.85</f>
        <v>2.85</v>
      </c>
      <c r="F243" s="3">
        <f>Datos!C$3*'Atenuación tomas'!$E243</f>
        <v>0.34199999999999997</v>
      </c>
      <c r="G243" s="3">
        <f>Datos!D$3*'Atenuación tomas'!$E243</f>
        <v>0.42749999999999999</v>
      </c>
    </row>
    <row r="244" spans="3:7" x14ac:dyDescent="0.25">
      <c r="D244" s="2" t="s">
        <v>90</v>
      </c>
      <c r="F244" s="3">
        <f>Datos!C$8</f>
        <v>3.3</v>
      </c>
      <c r="G244" s="3">
        <f>Datos!D$8</f>
        <v>3.3</v>
      </c>
    </row>
    <row r="245" spans="3:7" x14ac:dyDescent="0.25">
      <c r="D245" s="2" t="s">
        <v>51</v>
      </c>
      <c r="E245" s="1">
        <f>2.85</f>
        <v>2.85</v>
      </c>
      <c r="F245" s="3">
        <f>Datos!C$3*'Atenuación tomas'!$E245</f>
        <v>0.34199999999999997</v>
      </c>
      <c r="G245" s="3">
        <f>Datos!D$3*'Atenuación tomas'!$E245</f>
        <v>0.42749999999999999</v>
      </c>
    </row>
    <row r="246" spans="3:7" x14ac:dyDescent="0.25">
      <c r="D246" s="2" t="s">
        <v>54</v>
      </c>
      <c r="F246" s="3">
        <f>Datos!C$9</f>
        <v>17</v>
      </c>
      <c r="G246" s="3">
        <f>Datos!D$9</f>
        <v>17</v>
      </c>
    </row>
    <row r="247" spans="3:7" x14ac:dyDescent="0.25">
      <c r="D247" s="2" t="s">
        <v>52</v>
      </c>
      <c r="E247" s="1">
        <f>1.12</f>
        <v>1.1200000000000001</v>
      </c>
      <c r="F247" s="3">
        <f>Datos!C$3*'Atenuación tomas'!$E247</f>
        <v>0.13440000000000002</v>
      </c>
      <c r="G247" s="3">
        <f>Datos!D$3*'Atenuación tomas'!$E247</f>
        <v>0.16800000000000001</v>
      </c>
    </row>
    <row r="248" spans="3:7" x14ac:dyDescent="0.25">
      <c r="D248" s="2" t="s">
        <v>55</v>
      </c>
      <c r="F248" s="3">
        <f>Datos!C$19</f>
        <v>13</v>
      </c>
      <c r="G248" s="3">
        <f>Datos!D$19</f>
        <v>13</v>
      </c>
    </row>
    <row r="249" spans="3:7" x14ac:dyDescent="0.25">
      <c r="D249" s="2" t="s">
        <v>53</v>
      </c>
      <c r="E249" s="1">
        <f>13.92</f>
        <v>13.92</v>
      </c>
      <c r="F249" s="3">
        <f>Datos!C$3*'Atenuación tomas'!$E249</f>
        <v>1.6703999999999999</v>
      </c>
      <c r="G249" s="3">
        <f>Datos!D$3*'Atenuación tomas'!$E249</f>
        <v>2.0880000000000001</v>
      </c>
    </row>
    <row r="250" spans="3:7" x14ac:dyDescent="0.25">
      <c r="D250" s="2" t="s">
        <v>22</v>
      </c>
      <c r="F250" s="3">
        <f>Datos!C$21</f>
        <v>4</v>
      </c>
      <c r="G250" s="3">
        <f>Datos!D$21</f>
        <v>4</v>
      </c>
    </row>
    <row r="251" spans="3:7" x14ac:dyDescent="0.25">
      <c r="D251" s="2" t="s">
        <v>26</v>
      </c>
      <c r="F251" s="3">
        <f>SUM(F241:F250)</f>
        <v>40.948799999999999</v>
      </c>
      <c r="G251" s="3">
        <f>SUM(G241:G250)</f>
        <v>41.661000000000001</v>
      </c>
    </row>
    <row r="252" spans="3:7" x14ac:dyDescent="0.25">
      <c r="C252" s="2" t="s">
        <v>86</v>
      </c>
    </row>
    <row r="253" spans="3:7" x14ac:dyDescent="0.25">
      <c r="D253" s="2" t="s">
        <v>17</v>
      </c>
      <c r="E253" s="1">
        <f>3</f>
        <v>3</v>
      </c>
      <c r="F253" s="3">
        <f>Datos!C$3*'Atenuación tomas'!$E253</f>
        <v>0.36</v>
      </c>
      <c r="G253" s="3">
        <f>Datos!D$3*'Atenuación tomas'!$E253</f>
        <v>0.44999999999999996</v>
      </c>
    </row>
    <row r="254" spans="3:7" x14ac:dyDescent="0.25">
      <c r="D254" s="2" t="s">
        <v>50</v>
      </c>
      <c r="F254" s="3">
        <f>Datos!C$5</f>
        <v>0.8</v>
      </c>
      <c r="G254" s="3">
        <f>Datos!D$5</f>
        <v>0.8</v>
      </c>
    </row>
    <row r="255" spans="3:7" x14ac:dyDescent="0.25">
      <c r="D255" s="2" t="s">
        <v>51</v>
      </c>
      <c r="E255" s="1">
        <f>2.85</f>
        <v>2.85</v>
      </c>
      <c r="F255" s="3">
        <f>Datos!C$3*'Atenuación tomas'!$E255</f>
        <v>0.34199999999999997</v>
      </c>
      <c r="G255" s="3">
        <f>Datos!D$3*'Atenuación tomas'!$E255</f>
        <v>0.42749999999999999</v>
      </c>
    </row>
    <row r="256" spans="3:7" x14ac:dyDescent="0.25">
      <c r="D256" s="2" t="s">
        <v>90</v>
      </c>
      <c r="F256" s="3">
        <f>Datos!C$8</f>
        <v>3.3</v>
      </c>
      <c r="G256" s="3">
        <f>Datos!D$8</f>
        <v>3.3</v>
      </c>
    </row>
    <row r="257" spans="3:7" x14ac:dyDescent="0.25">
      <c r="D257" s="2" t="s">
        <v>51</v>
      </c>
      <c r="E257" s="1">
        <f>2.85</f>
        <v>2.85</v>
      </c>
      <c r="F257" s="3">
        <f>Datos!C$3*'Atenuación tomas'!$E257</f>
        <v>0.34199999999999997</v>
      </c>
      <c r="G257" s="3">
        <f>Datos!D$3*'Atenuación tomas'!$E257</f>
        <v>0.42749999999999999</v>
      </c>
    </row>
    <row r="258" spans="3:7" x14ac:dyDescent="0.25">
      <c r="D258" s="2" t="s">
        <v>54</v>
      </c>
      <c r="F258" s="3">
        <f>Datos!C$9</f>
        <v>17</v>
      </c>
      <c r="G258" s="3">
        <f>Datos!D$9</f>
        <v>17</v>
      </c>
    </row>
    <row r="259" spans="3:7" x14ac:dyDescent="0.25">
      <c r="D259" s="2" t="s">
        <v>52</v>
      </c>
      <c r="E259" s="1">
        <f>1.12</f>
        <v>1.1200000000000001</v>
      </c>
      <c r="F259" s="3">
        <f>Datos!C$3*'Atenuación tomas'!$E259</f>
        <v>0.13440000000000002</v>
      </c>
      <c r="G259" s="3">
        <f>Datos!D$3*'Atenuación tomas'!$E259</f>
        <v>0.16800000000000001</v>
      </c>
    </row>
    <row r="260" spans="3:7" x14ac:dyDescent="0.25">
      <c r="D260" s="2" t="s">
        <v>55</v>
      </c>
      <c r="F260" s="3">
        <f>Datos!C$19</f>
        <v>13</v>
      </c>
      <c r="G260" s="3">
        <f>Datos!D$19</f>
        <v>13</v>
      </c>
    </row>
    <row r="261" spans="3:7" x14ac:dyDescent="0.25">
      <c r="D261" s="2" t="s">
        <v>60</v>
      </c>
      <c r="E261" s="1">
        <f>6.13</f>
        <v>6.13</v>
      </c>
      <c r="F261" s="3">
        <f>Datos!C$3*'Atenuación tomas'!$E261</f>
        <v>0.73559999999999992</v>
      </c>
      <c r="G261" s="3">
        <f>Datos!D$3*'Atenuación tomas'!$E261</f>
        <v>0.91949999999999998</v>
      </c>
    </row>
    <row r="262" spans="3:7" x14ac:dyDescent="0.25">
      <c r="D262" s="2" t="s">
        <v>22</v>
      </c>
      <c r="F262" s="3">
        <f>Datos!C$21</f>
        <v>4</v>
      </c>
      <c r="G262" s="3">
        <f>Datos!D$21</f>
        <v>4</v>
      </c>
    </row>
    <row r="263" spans="3:7" x14ac:dyDescent="0.25">
      <c r="D263" s="2" t="s">
        <v>26</v>
      </c>
      <c r="F263" s="3">
        <f>SUM(F253:F262)</f>
        <v>40.013999999999996</v>
      </c>
      <c r="G263" s="3">
        <f>SUM(G253:G262)</f>
        <v>40.4925</v>
      </c>
    </row>
    <row r="264" spans="3:7" x14ac:dyDescent="0.25">
      <c r="C264" s="2" t="s">
        <v>87</v>
      </c>
    </row>
    <row r="265" spans="3:7" x14ac:dyDescent="0.25">
      <c r="D265" s="2" t="s">
        <v>17</v>
      </c>
      <c r="E265" s="1">
        <f>3</f>
        <v>3</v>
      </c>
      <c r="F265" s="3">
        <f>Datos!C$3*'Atenuación tomas'!$E265</f>
        <v>0.36</v>
      </c>
      <c r="G265" s="3">
        <f>Datos!D$3*'Atenuación tomas'!$E265</f>
        <v>0.44999999999999996</v>
      </c>
    </row>
    <row r="266" spans="3:7" x14ac:dyDescent="0.25">
      <c r="D266" s="2" t="s">
        <v>50</v>
      </c>
      <c r="F266" s="3">
        <f>Datos!C$5</f>
        <v>0.8</v>
      </c>
      <c r="G266" s="3">
        <f>Datos!D$5</f>
        <v>0.8</v>
      </c>
    </row>
    <row r="267" spans="3:7" x14ac:dyDescent="0.25">
      <c r="D267" s="2" t="s">
        <v>51</v>
      </c>
      <c r="E267" s="1">
        <f>2.85</f>
        <v>2.85</v>
      </c>
      <c r="F267" s="3">
        <f>Datos!C$3*'Atenuación tomas'!$E267</f>
        <v>0.34199999999999997</v>
      </c>
      <c r="G267" s="3">
        <f>Datos!D$3*'Atenuación tomas'!$E267</f>
        <v>0.42749999999999999</v>
      </c>
    </row>
    <row r="268" spans="3:7" x14ac:dyDescent="0.25">
      <c r="D268" s="2" t="s">
        <v>90</v>
      </c>
      <c r="F268" s="3">
        <f>Datos!C$8</f>
        <v>3.3</v>
      </c>
      <c r="G268" s="3">
        <f>Datos!D$8</f>
        <v>3.3</v>
      </c>
    </row>
    <row r="269" spans="3:7" x14ac:dyDescent="0.25">
      <c r="D269" s="2" t="s">
        <v>51</v>
      </c>
      <c r="E269" s="1">
        <f>2.85</f>
        <v>2.85</v>
      </c>
      <c r="F269" s="3">
        <f>Datos!C$3*'Atenuación tomas'!$E269</f>
        <v>0.34199999999999997</v>
      </c>
      <c r="G269" s="3">
        <f>Datos!D$3*'Atenuación tomas'!$E269</f>
        <v>0.42749999999999999</v>
      </c>
    </row>
    <row r="270" spans="3:7" x14ac:dyDescent="0.25">
      <c r="D270" s="2" t="s">
        <v>54</v>
      </c>
      <c r="F270" s="3">
        <f>Datos!C$9</f>
        <v>17</v>
      </c>
      <c r="G270" s="3">
        <f>Datos!D$9</f>
        <v>17</v>
      </c>
    </row>
    <row r="271" spans="3:7" x14ac:dyDescent="0.25">
      <c r="D271" s="2" t="s">
        <v>52</v>
      </c>
      <c r="E271" s="1">
        <f>1.12</f>
        <v>1.1200000000000001</v>
      </c>
      <c r="F271" s="3">
        <f>Datos!C$3*'Atenuación tomas'!$E271</f>
        <v>0.13440000000000002</v>
      </c>
      <c r="G271" s="3">
        <f>Datos!D$3*'Atenuación tomas'!$E271</f>
        <v>0.16800000000000001</v>
      </c>
    </row>
    <row r="272" spans="3:7" x14ac:dyDescent="0.25">
      <c r="D272" s="2" t="s">
        <v>55</v>
      </c>
      <c r="F272" s="3">
        <f>Datos!C$19</f>
        <v>13</v>
      </c>
      <c r="G272" s="3">
        <f>Datos!D$19</f>
        <v>13</v>
      </c>
    </row>
    <row r="273" spans="3:7" x14ac:dyDescent="0.25">
      <c r="D273" s="2" t="s">
        <v>61</v>
      </c>
      <c r="E273" s="1">
        <f>8</f>
        <v>8</v>
      </c>
      <c r="F273" s="3">
        <f>Datos!C$3*'Atenuación tomas'!$E273</f>
        <v>0.96</v>
      </c>
      <c r="G273" s="3">
        <f>Datos!D$3*'Atenuación tomas'!$E273</f>
        <v>1.2</v>
      </c>
    </row>
    <row r="274" spans="3:7" x14ac:dyDescent="0.25">
      <c r="D274" s="2" t="s">
        <v>22</v>
      </c>
      <c r="F274" s="3">
        <f>Datos!C$21</f>
        <v>4</v>
      </c>
      <c r="G274" s="3">
        <f>Datos!D$21</f>
        <v>4</v>
      </c>
    </row>
    <row r="275" spans="3:7" x14ac:dyDescent="0.25">
      <c r="D275" s="2" t="s">
        <v>26</v>
      </c>
      <c r="F275" s="3">
        <f>SUM(F265:F274)</f>
        <v>40.238399999999999</v>
      </c>
      <c r="G275" s="3">
        <f>SUM(G265:G274)</f>
        <v>40.773000000000003</v>
      </c>
    </row>
    <row r="276" spans="3:7" x14ac:dyDescent="0.25">
      <c r="C276" s="2" t="s">
        <v>88</v>
      </c>
    </row>
    <row r="277" spans="3:7" x14ac:dyDescent="0.25">
      <c r="D277" s="2" t="s">
        <v>17</v>
      </c>
      <c r="E277" s="1">
        <f>3</f>
        <v>3</v>
      </c>
      <c r="F277" s="3">
        <f>Datos!C$3*'Atenuación tomas'!$E277</f>
        <v>0.36</v>
      </c>
      <c r="G277" s="3">
        <f>Datos!D$3*'Atenuación tomas'!$E277</f>
        <v>0.44999999999999996</v>
      </c>
    </row>
    <row r="278" spans="3:7" x14ac:dyDescent="0.25">
      <c r="D278" s="2" t="s">
        <v>50</v>
      </c>
      <c r="F278" s="3">
        <f>Datos!C$5</f>
        <v>0.8</v>
      </c>
      <c r="G278" s="3">
        <f>Datos!D$5</f>
        <v>0.8</v>
      </c>
    </row>
    <row r="279" spans="3:7" x14ac:dyDescent="0.25">
      <c r="D279" s="2" t="s">
        <v>51</v>
      </c>
      <c r="E279" s="1">
        <f>2.85</f>
        <v>2.85</v>
      </c>
      <c r="F279" s="3">
        <f>Datos!C$3*'Atenuación tomas'!$E279</f>
        <v>0.34199999999999997</v>
      </c>
      <c r="G279" s="3">
        <f>Datos!D$3*'Atenuación tomas'!$E279</f>
        <v>0.42749999999999999</v>
      </c>
    </row>
    <row r="280" spans="3:7" x14ac:dyDescent="0.25">
      <c r="D280" s="2" t="s">
        <v>90</v>
      </c>
      <c r="F280" s="3">
        <f>Datos!C$8</f>
        <v>3.3</v>
      </c>
      <c r="G280" s="3">
        <f>Datos!D$8</f>
        <v>3.3</v>
      </c>
    </row>
    <row r="281" spans="3:7" x14ac:dyDescent="0.25">
      <c r="D281" s="2" t="s">
        <v>51</v>
      </c>
      <c r="E281" s="1">
        <f>2.85</f>
        <v>2.85</v>
      </c>
      <c r="F281" s="3">
        <f>Datos!C$3*'Atenuación tomas'!$E281</f>
        <v>0.34199999999999997</v>
      </c>
      <c r="G281" s="3">
        <f>Datos!D$3*'Atenuación tomas'!$E281</f>
        <v>0.42749999999999999</v>
      </c>
    </row>
    <row r="282" spans="3:7" x14ac:dyDescent="0.25">
      <c r="D282" s="2" t="s">
        <v>54</v>
      </c>
      <c r="F282" s="3">
        <f>Datos!C$9</f>
        <v>17</v>
      </c>
      <c r="G282" s="3">
        <f>Datos!D$9</f>
        <v>17</v>
      </c>
    </row>
    <row r="283" spans="3:7" x14ac:dyDescent="0.25">
      <c r="D283" s="2" t="s">
        <v>52</v>
      </c>
      <c r="E283" s="1">
        <f>1.12</f>
        <v>1.1200000000000001</v>
      </c>
      <c r="F283" s="3">
        <f>Datos!C$3*'Atenuación tomas'!$E283</f>
        <v>0.13440000000000002</v>
      </c>
      <c r="G283" s="3">
        <f>Datos!D$3*'Atenuación tomas'!$E283</f>
        <v>0.16800000000000001</v>
      </c>
    </row>
    <row r="284" spans="3:7" x14ac:dyDescent="0.25">
      <c r="D284" s="2" t="s">
        <v>55</v>
      </c>
      <c r="F284" s="3">
        <f>Datos!C$19</f>
        <v>13</v>
      </c>
      <c r="G284" s="3">
        <f>Datos!D$19</f>
        <v>13</v>
      </c>
    </row>
    <row r="285" spans="3:7" x14ac:dyDescent="0.25">
      <c r="D285" s="2" t="s">
        <v>62</v>
      </c>
      <c r="E285" s="1">
        <f>7.74</f>
        <v>7.74</v>
      </c>
      <c r="F285" s="3">
        <f>Datos!C$3*'Atenuación tomas'!$E285</f>
        <v>0.92879999999999996</v>
      </c>
      <c r="G285" s="3">
        <f>Datos!D$3*'Atenuación tomas'!$E285</f>
        <v>1.161</v>
      </c>
    </row>
    <row r="286" spans="3:7" x14ac:dyDescent="0.25">
      <c r="D286" s="2" t="s">
        <v>22</v>
      </c>
      <c r="F286" s="3">
        <f>Datos!C$21</f>
        <v>4</v>
      </c>
      <c r="G286" s="3">
        <f>Datos!D$21</f>
        <v>4</v>
      </c>
    </row>
    <row r="287" spans="3:7" x14ac:dyDescent="0.25">
      <c r="D287" s="2" t="s">
        <v>26</v>
      </c>
      <c r="F287" s="3">
        <f>SUM(F277:F286)</f>
        <v>40.2072</v>
      </c>
      <c r="G287" s="3">
        <f>SUM(G277:G286)</f>
        <v>40.734000000000002</v>
      </c>
    </row>
    <row r="288" spans="3:7" x14ac:dyDescent="0.25">
      <c r="C288" s="2" t="s">
        <v>89</v>
      </c>
    </row>
    <row r="289" spans="2:7" x14ac:dyDescent="0.25">
      <c r="D289" s="2" t="s">
        <v>17</v>
      </c>
      <c r="E289" s="1">
        <f>3</f>
        <v>3</v>
      </c>
      <c r="F289" s="3">
        <f>Datos!C$3*'Atenuación tomas'!$E289</f>
        <v>0.36</v>
      </c>
      <c r="G289" s="3">
        <f>Datos!D$3*'Atenuación tomas'!$E289</f>
        <v>0.44999999999999996</v>
      </c>
    </row>
    <row r="290" spans="2:7" x14ac:dyDescent="0.25">
      <c r="D290" s="2" t="s">
        <v>50</v>
      </c>
      <c r="F290" s="3">
        <f>Datos!C$5</f>
        <v>0.8</v>
      </c>
      <c r="G290" s="3">
        <f>Datos!D$5</f>
        <v>0.8</v>
      </c>
    </row>
    <row r="291" spans="2:7" x14ac:dyDescent="0.25">
      <c r="D291" s="2" t="s">
        <v>51</v>
      </c>
      <c r="E291" s="1">
        <f>2.85</f>
        <v>2.85</v>
      </c>
      <c r="F291" s="3">
        <f>Datos!C$3*'Atenuación tomas'!$E291</f>
        <v>0.34199999999999997</v>
      </c>
      <c r="G291" s="3">
        <f>Datos!D$3*'Atenuación tomas'!$E291</f>
        <v>0.42749999999999999</v>
      </c>
    </row>
    <row r="292" spans="2:7" x14ac:dyDescent="0.25">
      <c r="D292" s="2" t="s">
        <v>90</v>
      </c>
      <c r="F292" s="3">
        <f>Datos!C$8</f>
        <v>3.3</v>
      </c>
      <c r="G292" s="3">
        <f>Datos!D$8</f>
        <v>3.3</v>
      </c>
    </row>
    <row r="293" spans="2:7" x14ac:dyDescent="0.25">
      <c r="D293" s="2" t="s">
        <v>51</v>
      </c>
      <c r="E293" s="1">
        <f>2.85</f>
        <v>2.85</v>
      </c>
      <c r="F293" s="3">
        <f>Datos!C$3*'Atenuación tomas'!$E293</f>
        <v>0.34199999999999997</v>
      </c>
      <c r="G293" s="3">
        <f>Datos!D$3*'Atenuación tomas'!$E293</f>
        <v>0.42749999999999999</v>
      </c>
    </row>
    <row r="294" spans="2:7" x14ac:dyDescent="0.25">
      <c r="D294" s="2" t="s">
        <v>54</v>
      </c>
      <c r="F294" s="3">
        <f>Datos!C$9</f>
        <v>17</v>
      </c>
      <c r="G294" s="3">
        <f>Datos!D$9</f>
        <v>17</v>
      </c>
    </row>
    <row r="295" spans="2:7" x14ac:dyDescent="0.25">
      <c r="D295" s="2" t="s">
        <v>52</v>
      </c>
      <c r="E295" s="1">
        <f>1.12</f>
        <v>1.1200000000000001</v>
      </c>
      <c r="F295" s="3">
        <f>Datos!C$3*'Atenuación tomas'!$E295</f>
        <v>0.13440000000000002</v>
      </c>
      <c r="G295" s="3">
        <f>Datos!D$3*'Atenuación tomas'!$E295</f>
        <v>0.16800000000000001</v>
      </c>
    </row>
    <row r="296" spans="2:7" x14ac:dyDescent="0.25">
      <c r="D296" s="2" t="s">
        <v>55</v>
      </c>
      <c r="F296" s="3">
        <f>Datos!C$19</f>
        <v>13</v>
      </c>
      <c r="G296" s="3">
        <f>Datos!D$19</f>
        <v>13</v>
      </c>
    </row>
    <row r="297" spans="2:7" x14ac:dyDescent="0.25">
      <c r="D297" s="2" t="s">
        <v>63</v>
      </c>
      <c r="E297" s="1">
        <f>6.51</f>
        <v>6.51</v>
      </c>
      <c r="F297" s="3">
        <f>Datos!C$3*'Atenuación tomas'!$E297</f>
        <v>0.78119999999999989</v>
      </c>
      <c r="G297" s="3">
        <f>Datos!D$3*'Atenuación tomas'!$E297</f>
        <v>0.97649999999999992</v>
      </c>
    </row>
    <row r="298" spans="2:7" x14ac:dyDescent="0.25">
      <c r="D298" s="2" t="s">
        <v>22</v>
      </c>
      <c r="F298" s="3">
        <f>Datos!C$21</f>
        <v>4</v>
      </c>
      <c r="G298" s="3">
        <f>Datos!D$21</f>
        <v>4</v>
      </c>
    </row>
    <row r="299" spans="2:7" x14ac:dyDescent="0.25">
      <c r="D299" s="2" t="s">
        <v>26</v>
      </c>
      <c r="F299" s="3">
        <f>SUM(F289:F298)</f>
        <v>40.059599999999996</v>
      </c>
      <c r="G299" s="3">
        <f>SUM(G289:G298)</f>
        <v>40.549500000000002</v>
      </c>
    </row>
    <row r="300" spans="2:7" x14ac:dyDescent="0.25">
      <c r="B300" s="2" t="s">
        <v>30</v>
      </c>
    </row>
    <row r="301" spans="2:7" x14ac:dyDescent="0.25">
      <c r="C301" s="2" t="s">
        <v>91</v>
      </c>
    </row>
    <row r="302" spans="2:7" x14ac:dyDescent="0.25">
      <c r="D302" s="2" t="s">
        <v>17</v>
      </c>
      <c r="E302" s="1">
        <f>3</f>
        <v>3</v>
      </c>
      <c r="F302" s="3">
        <f>Datos!C$3*'Atenuación tomas'!$E302</f>
        <v>0.36</v>
      </c>
      <c r="G302" s="3">
        <f>Datos!D$3*'Atenuación tomas'!$E302</f>
        <v>0.44999999999999996</v>
      </c>
    </row>
    <row r="303" spans="2:7" x14ac:dyDescent="0.25">
      <c r="D303" s="2" t="s">
        <v>50</v>
      </c>
      <c r="F303" s="3">
        <f>Datos!C$5</f>
        <v>0.8</v>
      </c>
      <c r="G303" s="3">
        <f>Datos!D$5</f>
        <v>0.8</v>
      </c>
    </row>
    <row r="304" spans="2:7" x14ac:dyDescent="0.25">
      <c r="D304" s="2" t="s">
        <v>51</v>
      </c>
      <c r="E304" s="1">
        <f>2.85</f>
        <v>2.85</v>
      </c>
      <c r="F304" s="3">
        <f>Datos!C$3*'Atenuación tomas'!$E304</f>
        <v>0.34199999999999997</v>
      </c>
      <c r="G304" s="3">
        <f>Datos!D$3*'Atenuación tomas'!$E304</f>
        <v>0.42749999999999999</v>
      </c>
    </row>
    <row r="305" spans="3:7" x14ac:dyDescent="0.25">
      <c r="D305" s="2" t="s">
        <v>90</v>
      </c>
      <c r="F305" s="3">
        <f>Datos!C$8</f>
        <v>3.3</v>
      </c>
      <c r="G305" s="3">
        <f>Datos!D$8</f>
        <v>3.3</v>
      </c>
    </row>
    <row r="306" spans="3:7" x14ac:dyDescent="0.25">
      <c r="D306" s="2" t="s">
        <v>51</v>
      </c>
      <c r="E306" s="1">
        <f>2.85</f>
        <v>2.85</v>
      </c>
      <c r="F306" s="3">
        <f>Datos!C$3*'Atenuación tomas'!$E306</f>
        <v>0.34199999999999997</v>
      </c>
      <c r="G306" s="3">
        <f>Datos!D$3*'Atenuación tomas'!$E306</f>
        <v>0.42749999999999999</v>
      </c>
    </row>
    <row r="307" spans="3:7" x14ac:dyDescent="0.25">
      <c r="D307" s="2" t="s">
        <v>54</v>
      </c>
      <c r="F307" s="3">
        <f>Datos!C$9</f>
        <v>17</v>
      </c>
      <c r="G307" s="3">
        <f>Datos!D$9</f>
        <v>17</v>
      </c>
    </row>
    <row r="308" spans="3:7" x14ac:dyDescent="0.25">
      <c r="D308" s="2" t="s">
        <v>65</v>
      </c>
      <c r="E308" s="1">
        <f>4.49</f>
        <v>4.49</v>
      </c>
      <c r="F308" s="3">
        <f>Datos!C$3*'Atenuación tomas'!$E308</f>
        <v>0.53880000000000006</v>
      </c>
      <c r="G308" s="3">
        <f>Datos!D$3*'Atenuación tomas'!$E308</f>
        <v>0.67349999999999999</v>
      </c>
    </row>
    <row r="309" spans="3:7" x14ac:dyDescent="0.25">
      <c r="D309" s="2" t="s">
        <v>20</v>
      </c>
      <c r="F309" s="3">
        <f>Datos!C$17</f>
        <v>9</v>
      </c>
      <c r="G309" s="3">
        <f>Datos!D$17</f>
        <v>9</v>
      </c>
    </row>
    <row r="310" spans="3:7" x14ac:dyDescent="0.25">
      <c r="D310" s="2" t="s">
        <v>66</v>
      </c>
      <c r="E310" s="1">
        <f>4.2</f>
        <v>4.2</v>
      </c>
      <c r="F310" s="3">
        <f>Datos!C$3*'Atenuación tomas'!$E310</f>
        <v>0.504</v>
      </c>
      <c r="G310" s="3">
        <f>Datos!D$3*'Atenuación tomas'!$E310</f>
        <v>0.63</v>
      </c>
    </row>
    <row r="311" spans="3:7" x14ac:dyDescent="0.25">
      <c r="D311" s="2" t="s">
        <v>22</v>
      </c>
      <c r="F311" s="3">
        <f>Datos!C$21</f>
        <v>4</v>
      </c>
      <c r="G311" s="3">
        <f>Datos!D$21</f>
        <v>4</v>
      </c>
    </row>
    <row r="312" spans="3:7" x14ac:dyDescent="0.25">
      <c r="D312" s="2" t="s">
        <v>26</v>
      </c>
      <c r="F312" s="3">
        <f>SUM(F302:F311)</f>
        <v>36.186799999999998</v>
      </c>
      <c r="G312" s="3">
        <f>SUM(G302:G311)</f>
        <v>36.708500000000008</v>
      </c>
    </row>
    <row r="313" spans="3:7" x14ac:dyDescent="0.25">
      <c r="C313" s="2" t="s">
        <v>92</v>
      </c>
    </row>
    <row r="314" spans="3:7" x14ac:dyDescent="0.25">
      <c r="D314" s="2" t="s">
        <v>17</v>
      </c>
      <c r="E314" s="1">
        <f>3</f>
        <v>3</v>
      </c>
      <c r="F314" s="3">
        <f>Datos!C$3*'Atenuación tomas'!$E314</f>
        <v>0.36</v>
      </c>
      <c r="G314" s="3">
        <f>Datos!D$3*'Atenuación tomas'!$E314</f>
        <v>0.44999999999999996</v>
      </c>
    </row>
    <row r="315" spans="3:7" x14ac:dyDescent="0.25">
      <c r="D315" s="2" t="s">
        <v>50</v>
      </c>
      <c r="F315" s="3">
        <f>Datos!C$5</f>
        <v>0.8</v>
      </c>
      <c r="G315" s="3">
        <f>Datos!D$5</f>
        <v>0.8</v>
      </c>
    </row>
    <row r="316" spans="3:7" x14ac:dyDescent="0.25">
      <c r="D316" s="2" t="s">
        <v>51</v>
      </c>
      <c r="E316" s="1">
        <f>2.85</f>
        <v>2.85</v>
      </c>
      <c r="F316" s="3">
        <f>Datos!C$3*'Atenuación tomas'!$E316</f>
        <v>0.34199999999999997</v>
      </c>
      <c r="G316" s="3">
        <f>Datos!D$3*'Atenuación tomas'!$E316</f>
        <v>0.42749999999999999</v>
      </c>
    </row>
    <row r="317" spans="3:7" x14ac:dyDescent="0.25">
      <c r="D317" s="2" t="s">
        <v>90</v>
      </c>
      <c r="F317" s="3">
        <f>Datos!C$8</f>
        <v>3.3</v>
      </c>
      <c r="G317" s="3">
        <f>Datos!D$8</f>
        <v>3.3</v>
      </c>
    </row>
    <row r="318" spans="3:7" x14ac:dyDescent="0.25">
      <c r="D318" s="2" t="s">
        <v>51</v>
      </c>
      <c r="E318" s="1">
        <f>2.85</f>
        <v>2.85</v>
      </c>
      <c r="F318" s="3">
        <f>Datos!C$3*'Atenuación tomas'!$E318</f>
        <v>0.34199999999999997</v>
      </c>
      <c r="G318" s="3">
        <f>Datos!D$3*'Atenuación tomas'!$E318</f>
        <v>0.42749999999999999</v>
      </c>
    </row>
    <row r="319" spans="3:7" x14ac:dyDescent="0.25">
      <c r="D319" s="2" t="s">
        <v>54</v>
      </c>
      <c r="F319" s="3">
        <f>Datos!C$9</f>
        <v>17</v>
      </c>
      <c r="G319" s="3">
        <f>Datos!D$9</f>
        <v>17</v>
      </c>
    </row>
    <row r="320" spans="3:7" x14ac:dyDescent="0.25">
      <c r="D320" s="2" t="s">
        <v>65</v>
      </c>
      <c r="E320" s="1">
        <f>4.49</f>
        <v>4.49</v>
      </c>
      <c r="F320" s="3">
        <f>Datos!C$3*'Atenuación tomas'!$E320</f>
        <v>0.53880000000000006</v>
      </c>
      <c r="G320" s="3">
        <f>Datos!D$3*'Atenuación tomas'!$E320</f>
        <v>0.67349999999999999</v>
      </c>
    </row>
    <row r="321" spans="3:7" x14ac:dyDescent="0.25">
      <c r="D321" s="2" t="s">
        <v>20</v>
      </c>
      <c r="F321" s="3">
        <f>Datos!C$17</f>
        <v>9</v>
      </c>
      <c r="G321" s="3">
        <f>Datos!D$17</f>
        <v>9</v>
      </c>
    </row>
    <row r="322" spans="3:7" x14ac:dyDescent="0.25">
      <c r="D322" s="2" t="s">
        <v>72</v>
      </c>
      <c r="E322" s="1">
        <f>4.9</f>
        <v>4.9000000000000004</v>
      </c>
      <c r="F322" s="3">
        <f>Datos!C$3*'Atenuación tomas'!$E322</f>
        <v>0.58799999999999997</v>
      </c>
      <c r="G322" s="3">
        <f>Datos!D$3*'Atenuación tomas'!$E322</f>
        <v>0.73499999999999999</v>
      </c>
    </row>
    <row r="323" spans="3:7" x14ac:dyDescent="0.25">
      <c r="D323" s="2" t="s">
        <v>22</v>
      </c>
      <c r="F323" s="3">
        <f>Datos!C$21</f>
        <v>4</v>
      </c>
      <c r="G323" s="3">
        <f>Datos!D$21</f>
        <v>4</v>
      </c>
    </row>
    <row r="324" spans="3:7" x14ac:dyDescent="0.25">
      <c r="D324" s="2" t="s">
        <v>26</v>
      </c>
      <c r="F324" s="3">
        <f>SUM(F314:F323)</f>
        <v>36.270799999999994</v>
      </c>
      <c r="G324" s="3">
        <f>SUM(G314:G323)</f>
        <v>36.813500000000005</v>
      </c>
    </row>
    <row r="325" spans="3:7" x14ac:dyDescent="0.25">
      <c r="C325" s="2" t="s">
        <v>93</v>
      </c>
    </row>
    <row r="326" spans="3:7" x14ac:dyDescent="0.25">
      <c r="D326" s="2" t="s">
        <v>17</v>
      </c>
      <c r="E326" s="1">
        <f>3</f>
        <v>3</v>
      </c>
      <c r="F326" s="3">
        <f>Datos!C$3*'Atenuación tomas'!$E326</f>
        <v>0.36</v>
      </c>
      <c r="G326" s="3">
        <f>Datos!D$3*'Atenuación tomas'!$E326</f>
        <v>0.44999999999999996</v>
      </c>
    </row>
    <row r="327" spans="3:7" x14ac:dyDescent="0.25">
      <c r="D327" s="2" t="s">
        <v>50</v>
      </c>
      <c r="F327" s="3">
        <f>Datos!C$5</f>
        <v>0.8</v>
      </c>
      <c r="G327" s="3">
        <f>Datos!D$5</f>
        <v>0.8</v>
      </c>
    </row>
    <row r="328" spans="3:7" x14ac:dyDescent="0.25">
      <c r="D328" s="2" t="s">
        <v>51</v>
      </c>
      <c r="E328" s="1">
        <f>2.85</f>
        <v>2.85</v>
      </c>
      <c r="F328" s="3">
        <f>Datos!C$3*'Atenuación tomas'!$E328</f>
        <v>0.34199999999999997</v>
      </c>
      <c r="G328" s="3">
        <f>Datos!D$3*'Atenuación tomas'!$E328</f>
        <v>0.42749999999999999</v>
      </c>
    </row>
    <row r="329" spans="3:7" x14ac:dyDescent="0.25">
      <c r="D329" s="2" t="s">
        <v>90</v>
      </c>
      <c r="F329" s="3">
        <f>Datos!C$8</f>
        <v>3.3</v>
      </c>
      <c r="G329" s="3">
        <f>Datos!D$8</f>
        <v>3.3</v>
      </c>
    </row>
    <row r="330" spans="3:7" x14ac:dyDescent="0.25">
      <c r="D330" s="2" t="s">
        <v>51</v>
      </c>
      <c r="E330" s="1">
        <f>2.85</f>
        <v>2.85</v>
      </c>
      <c r="F330" s="3">
        <f>Datos!C$3*'Atenuación tomas'!$E330</f>
        <v>0.34199999999999997</v>
      </c>
      <c r="G330" s="3">
        <f>Datos!D$3*'Atenuación tomas'!$E330</f>
        <v>0.42749999999999999</v>
      </c>
    </row>
    <row r="331" spans="3:7" x14ac:dyDescent="0.25">
      <c r="D331" s="2" t="s">
        <v>54</v>
      </c>
      <c r="F331" s="3">
        <f>Datos!C$9</f>
        <v>17</v>
      </c>
      <c r="G331" s="3">
        <f>Datos!D$9</f>
        <v>17</v>
      </c>
    </row>
    <row r="332" spans="3:7" x14ac:dyDescent="0.25">
      <c r="D332" s="2" t="s">
        <v>65</v>
      </c>
      <c r="E332" s="1">
        <f>4.49</f>
        <v>4.49</v>
      </c>
      <c r="F332" s="3">
        <f>Datos!C$3*'Atenuación tomas'!$E332</f>
        <v>0.53880000000000006</v>
      </c>
      <c r="G332" s="3">
        <f>Datos!D$3*'Atenuación tomas'!$E332</f>
        <v>0.67349999999999999</v>
      </c>
    </row>
    <row r="333" spans="3:7" x14ac:dyDescent="0.25">
      <c r="D333" s="2" t="s">
        <v>20</v>
      </c>
      <c r="F333" s="3">
        <f>Datos!C$17</f>
        <v>9</v>
      </c>
      <c r="G333" s="3">
        <f>Datos!D$17</f>
        <v>9</v>
      </c>
    </row>
    <row r="334" spans="3:7" x14ac:dyDescent="0.25">
      <c r="D334" s="2" t="s">
        <v>71</v>
      </c>
      <c r="E334" s="1">
        <f>9.49</f>
        <v>9.49</v>
      </c>
      <c r="F334" s="3">
        <f>Datos!C$3*'Atenuación tomas'!$E334</f>
        <v>1.1388</v>
      </c>
      <c r="G334" s="3">
        <f>Datos!D$3*'Atenuación tomas'!$E334</f>
        <v>1.4235</v>
      </c>
    </row>
    <row r="335" spans="3:7" x14ac:dyDescent="0.25">
      <c r="D335" s="2" t="s">
        <v>22</v>
      </c>
      <c r="F335" s="3">
        <f>Datos!C$21</f>
        <v>4</v>
      </c>
      <c r="G335" s="3">
        <f>Datos!D$21</f>
        <v>4</v>
      </c>
    </row>
    <row r="336" spans="3:7" x14ac:dyDescent="0.25">
      <c r="D336" s="2" t="s">
        <v>26</v>
      </c>
      <c r="F336" s="3">
        <f>SUM(F326:F335)</f>
        <v>36.821599999999997</v>
      </c>
      <c r="G336" s="3">
        <f>SUM(G326:G335)</f>
        <v>37.502000000000002</v>
      </c>
    </row>
    <row r="337" spans="2:7" x14ac:dyDescent="0.25">
      <c r="C337" s="2" t="s">
        <v>94</v>
      </c>
    </row>
    <row r="338" spans="2:7" x14ac:dyDescent="0.25">
      <c r="D338" s="2" t="s">
        <v>17</v>
      </c>
      <c r="E338" s="1">
        <f>3</f>
        <v>3</v>
      </c>
      <c r="F338" s="3">
        <f>Datos!C$3*'Atenuación tomas'!$E338</f>
        <v>0.36</v>
      </c>
      <c r="G338" s="3">
        <f>Datos!D$3*'Atenuación tomas'!$E338</f>
        <v>0.44999999999999996</v>
      </c>
    </row>
    <row r="339" spans="2:7" x14ac:dyDescent="0.25">
      <c r="D339" s="2" t="s">
        <v>50</v>
      </c>
      <c r="F339" s="3">
        <f>Datos!C$5</f>
        <v>0.8</v>
      </c>
      <c r="G339" s="3">
        <f>Datos!D$5</f>
        <v>0.8</v>
      </c>
    </row>
    <row r="340" spans="2:7" x14ac:dyDescent="0.25">
      <c r="D340" s="2" t="s">
        <v>51</v>
      </c>
      <c r="E340" s="1">
        <f>2.85</f>
        <v>2.85</v>
      </c>
      <c r="F340" s="3">
        <f>Datos!C$3*'Atenuación tomas'!$E340</f>
        <v>0.34199999999999997</v>
      </c>
      <c r="G340" s="3">
        <f>Datos!D$3*'Atenuación tomas'!$E340</f>
        <v>0.42749999999999999</v>
      </c>
    </row>
    <row r="341" spans="2:7" x14ac:dyDescent="0.25">
      <c r="D341" s="2" t="s">
        <v>90</v>
      </c>
      <c r="F341" s="3">
        <f>Datos!C$8</f>
        <v>3.3</v>
      </c>
      <c r="G341" s="3">
        <f>Datos!D$8</f>
        <v>3.3</v>
      </c>
    </row>
    <row r="342" spans="2:7" x14ac:dyDescent="0.25">
      <c r="D342" s="2" t="s">
        <v>51</v>
      </c>
      <c r="E342" s="1">
        <f>2.85</f>
        <v>2.85</v>
      </c>
      <c r="F342" s="3">
        <f>Datos!C$3*'Atenuación tomas'!$E342</f>
        <v>0.34199999999999997</v>
      </c>
      <c r="G342" s="3">
        <f>Datos!D$3*'Atenuación tomas'!$E342</f>
        <v>0.42749999999999999</v>
      </c>
    </row>
    <row r="343" spans="2:7" x14ac:dyDescent="0.25">
      <c r="D343" s="2" t="s">
        <v>54</v>
      </c>
      <c r="F343" s="3">
        <f>Datos!C$9</f>
        <v>17</v>
      </c>
      <c r="G343" s="3">
        <f>Datos!D$9</f>
        <v>17</v>
      </c>
    </row>
    <row r="344" spans="2:7" x14ac:dyDescent="0.25">
      <c r="D344" s="2" t="s">
        <v>65</v>
      </c>
      <c r="E344" s="1">
        <f>4.49</f>
        <v>4.49</v>
      </c>
      <c r="F344" s="3">
        <f>Datos!C$3*'Atenuación tomas'!$E344</f>
        <v>0.53880000000000006</v>
      </c>
      <c r="G344" s="3">
        <f>Datos!D$3*'Atenuación tomas'!$E344</f>
        <v>0.67349999999999999</v>
      </c>
    </row>
    <row r="345" spans="2:7" x14ac:dyDescent="0.25">
      <c r="D345" s="2" t="s">
        <v>20</v>
      </c>
      <c r="F345" s="3">
        <f>Datos!C$17</f>
        <v>9</v>
      </c>
      <c r="G345" s="3">
        <f>Datos!D$17</f>
        <v>9</v>
      </c>
    </row>
    <row r="346" spans="2:7" x14ac:dyDescent="0.25">
      <c r="D346" s="2" t="s">
        <v>70</v>
      </c>
      <c r="E346" s="1">
        <f>9.7</f>
        <v>9.6999999999999993</v>
      </c>
      <c r="F346" s="3">
        <f>Datos!C$3*'Atenuación tomas'!$E346</f>
        <v>1.1639999999999999</v>
      </c>
      <c r="G346" s="3">
        <f>Datos!D$3*'Atenuación tomas'!$E346</f>
        <v>1.4549999999999998</v>
      </c>
    </row>
    <row r="347" spans="2:7" x14ac:dyDescent="0.25">
      <c r="D347" s="2" t="s">
        <v>22</v>
      </c>
      <c r="F347" s="3">
        <f>Datos!C$21</f>
        <v>4</v>
      </c>
      <c r="G347" s="3">
        <f>Datos!D$21</f>
        <v>4</v>
      </c>
    </row>
    <row r="348" spans="2:7" x14ac:dyDescent="0.25">
      <c r="D348" s="2" t="s">
        <v>26</v>
      </c>
      <c r="F348" s="3">
        <f>SUM(F338:F347)</f>
        <v>36.846799999999995</v>
      </c>
      <c r="G348" s="3">
        <f>SUM(G338:G347)</f>
        <v>37.533500000000004</v>
      </c>
    </row>
    <row r="349" spans="2:7" x14ac:dyDescent="0.25">
      <c r="B349" s="2" t="s">
        <v>38</v>
      </c>
    </row>
    <row r="350" spans="2:7" x14ac:dyDescent="0.25">
      <c r="C350" s="2" t="s">
        <v>95</v>
      </c>
    </row>
    <row r="351" spans="2:7" x14ac:dyDescent="0.25">
      <c r="D351" s="2" t="s">
        <v>17</v>
      </c>
      <c r="E351" s="1">
        <f>3</f>
        <v>3</v>
      </c>
      <c r="F351" s="3">
        <f>Datos!C$3*'Atenuación tomas'!$E351</f>
        <v>0.36</v>
      </c>
      <c r="G351" s="3">
        <f>Datos!D$3*'Atenuación tomas'!$E351</f>
        <v>0.44999999999999996</v>
      </c>
    </row>
    <row r="352" spans="2:7" x14ac:dyDescent="0.25">
      <c r="D352" s="2" t="s">
        <v>50</v>
      </c>
      <c r="F352" s="3">
        <f>Datos!C$5</f>
        <v>0.8</v>
      </c>
      <c r="G352" s="3">
        <f>Datos!D$5</f>
        <v>0.8</v>
      </c>
    </row>
    <row r="353" spans="3:7" x14ac:dyDescent="0.25">
      <c r="D353" s="2" t="s">
        <v>51</v>
      </c>
      <c r="E353" s="1">
        <f>2.85</f>
        <v>2.85</v>
      </c>
      <c r="F353" s="3">
        <f>Datos!C$3*'Atenuación tomas'!$E353</f>
        <v>0.34199999999999997</v>
      </c>
      <c r="G353" s="3">
        <f>Datos!D$3*'Atenuación tomas'!$E353</f>
        <v>0.42749999999999999</v>
      </c>
    </row>
    <row r="354" spans="3:7" x14ac:dyDescent="0.25">
      <c r="D354" s="2" t="s">
        <v>90</v>
      </c>
      <c r="F354" s="3">
        <f>Datos!C$8</f>
        <v>3.3</v>
      </c>
      <c r="G354" s="3">
        <f>Datos!D$8</f>
        <v>3.3</v>
      </c>
    </row>
    <row r="355" spans="3:7" x14ac:dyDescent="0.25">
      <c r="D355" s="2" t="s">
        <v>51</v>
      </c>
      <c r="E355" s="1">
        <f>2.85</f>
        <v>2.85</v>
      </c>
      <c r="F355" s="3">
        <f>Datos!C$3*'Atenuación tomas'!$E355</f>
        <v>0.34199999999999997</v>
      </c>
      <c r="G355" s="3">
        <f>Datos!D$3*'Atenuación tomas'!$E355</f>
        <v>0.42749999999999999</v>
      </c>
    </row>
    <row r="356" spans="3:7" x14ac:dyDescent="0.25">
      <c r="D356" s="2" t="s">
        <v>54</v>
      </c>
      <c r="F356" s="3">
        <f>Datos!C$9</f>
        <v>17</v>
      </c>
      <c r="G356" s="3">
        <f>Datos!D$9</f>
        <v>17</v>
      </c>
    </row>
    <row r="357" spans="3:7" x14ac:dyDescent="0.25">
      <c r="D357" s="2" t="s">
        <v>74</v>
      </c>
      <c r="E357" s="1">
        <f>4.84</f>
        <v>4.84</v>
      </c>
      <c r="F357" s="3">
        <f>Datos!C$3*'Atenuación tomas'!$E357</f>
        <v>0.58079999999999998</v>
      </c>
      <c r="G357" s="3">
        <f>Datos!D$3*'Atenuación tomas'!$E357</f>
        <v>0.72599999999999998</v>
      </c>
    </row>
    <row r="358" spans="3:7" x14ac:dyDescent="0.25">
      <c r="D358" s="2" t="s">
        <v>55</v>
      </c>
      <c r="F358" s="3">
        <f>Datos!C$19</f>
        <v>13</v>
      </c>
      <c r="G358" s="3">
        <f>Datos!D$19</f>
        <v>13</v>
      </c>
    </row>
    <row r="359" spans="3:7" x14ac:dyDescent="0.25">
      <c r="D359" s="2" t="s">
        <v>75</v>
      </c>
      <c r="E359" s="1">
        <f>9.03</f>
        <v>9.0299999999999994</v>
      </c>
      <c r="F359" s="3">
        <f>Datos!C$3*'Atenuación tomas'!$E359</f>
        <v>1.0835999999999999</v>
      </c>
      <c r="G359" s="3">
        <f>Datos!D$3*'Atenuación tomas'!$E359</f>
        <v>1.3544999999999998</v>
      </c>
    </row>
    <row r="360" spans="3:7" x14ac:dyDescent="0.25">
      <c r="D360" s="2" t="s">
        <v>22</v>
      </c>
      <c r="F360" s="3">
        <f>Datos!C$21</f>
        <v>4</v>
      </c>
      <c r="G360" s="3">
        <f>Datos!D$21</f>
        <v>4</v>
      </c>
    </row>
    <row r="361" spans="3:7" x14ac:dyDescent="0.25">
      <c r="D361" s="2" t="s">
        <v>26</v>
      </c>
      <c r="F361" s="3">
        <f>SUM(F351:F360)</f>
        <v>40.808399999999999</v>
      </c>
      <c r="G361" s="3">
        <f>SUM(G351:G360)</f>
        <v>41.485500000000002</v>
      </c>
    </row>
    <row r="362" spans="3:7" x14ac:dyDescent="0.25">
      <c r="C362" s="2" t="s">
        <v>96</v>
      </c>
    </row>
    <row r="363" spans="3:7" x14ac:dyDescent="0.25">
      <c r="D363" s="2" t="s">
        <v>17</v>
      </c>
      <c r="E363" s="1">
        <f>3</f>
        <v>3</v>
      </c>
      <c r="F363" s="3">
        <f>Datos!C$3*'Atenuación tomas'!$E363</f>
        <v>0.36</v>
      </c>
      <c r="G363" s="3">
        <f>Datos!D$3*'Atenuación tomas'!$E363</f>
        <v>0.44999999999999996</v>
      </c>
    </row>
    <row r="364" spans="3:7" x14ac:dyDescent="0.25">
      <c r="D364" s="2" t="s">
        <v>50</v>
      </c>
      <c r="F364" s="3">
        <f>Datos!C$5</f>
        <v>0.8</v>
      </c>
      <c r="G364" s="3">
        <f>Datos!D$5</f>
        <v>0.8</v>
      </c>
    </row>
    <row r="365" spans="3:7" x14ac:dyDescent="0.25">
      <c r="D365" s="2" t="s">
        <v>51</v>
      </c>
      <c r="E365" s="1">
        <f>2.85</f>
        <v>2.85</v>
      </c>
      <c r="F365" s="3">
        <f>Datos!C$3*'Atenuación tomas'!$E365</f>
        <v>0.34199999999999997</v>
      </c>
      <c r="G365" s="3">
        <f>Datos!D$3*'Atenuación tomas'!$E365</f>
        <v>0.42749999999999999</v>
      </c>
    </row>
    <row r="366" spans="3:7" x14ac:dyDescent="0.25">
      <c r="D366" s="2" t="s">
        <v>90</v>
      </c>
      <c r="F366" s="3">
        <f>Datos!C$8</f>
        <v>3.3</v>
      </c>
      <c r="G366" s="3">
        <f>Datos!D$8</f>
        <v>3.3</v>
      </c>
    </row>
    <row r="367" spans="3:7" x14ac:dyDescent="0.25">
      <c r="D367" s="2" t="s">
        <v>51</v>
      </c>
      <c r="E367" s="1">
        <f>2.85</f>
        <v>2.85</v>
      </c>
      <c r="F367" s="3">
        <f>Datos!C$3*'Atenuación tomas'!$E367</f>
        <v>0.34199999999999997</v>
      </c>
      <c r="G367" s="3">
        <f>Datos!D$3*'Atenuación tomas'!$E367</f>
        <v>0.42749999999999999</v>
      </c>
    </row>
    <row r="368" spans="3:7" x14ac:dyDescent="0.25">
      <c r="D368" s="2" t="s">
        <v>54</v>
      </c>
      <c r="F368" s="3">
        <f>Datos!C$9</f>
        <v>17</v>
      </c>
      <c r="G368" s="3">
        <f>Datos!D$9</f>
        <v>17</v>
      </c>
    </row>
    <row r="369" spans="3:7" x14ac:dyDescent="0.25">
      <c r="D369" s="2" t="s">
        <v>74</v>
      </c>
      <c r="E369" s="1">
        <f>4.84</f>
        <v>4.84</v>
      </c>
      <c r="F369" s="3">
        <f>Datos!C$3*'Atenuación tomas'!$E369</f>
        <v>0.58079999999999998</v>
      </c>
      <c r="G369" s="3">
        <f>Datos!D$3*'Atenuación tomas'!$E369</f>
        <v>0.72599999999999998</v>
      </c>
    </row>
    <row r="370" spans="3:7" x14ac:dyDescent="0.25">
      <c r="D370" s="2" t="s">
        <v>55</v>
      </c>
      <c r="F370" s="3">
        <f>Datos!C$19</f>
        <v>13</v>
      </c>
      <c r="G370" s="3">
        <f>Datos!D$19</f>
        <v>13</v>
      </c>
    </row>
    <row r="371" spans="3:7" x14ac:dyDescent="0.25">
      <c r="D371" s="2" t="s">
        <v>80</v>
      </c>
      <c r="E371" s="1">
        <f>4.31</f>
        <v>4.3099999999999996</v>
      </c>
      <c r="F371" s="3">
        <f>Datos!C$3*'Atenuación tomas'!$E371</f>
        <v>0.51719999999999988</v>
      </c>
      <c r="G371" s="3">
        <f>Datos!D$3*'Atenuación tomas'!$E371</f>
        <v>0.64649999999999996</v>
      </c>
    </row>
    <row r="372" spans="3:7" x14ac:dyDescent="0.25">
      <c r="D372" s="2" t="s">
        <v>22</v>
      </c>
      <c r="F372" s="3">
        <f>Datos!C$21</f>
        <v>4</v>
      </c>
      <c r="G372" s="3">
        <f>Datos!D$21</f>
        <v>4</v>
      </c>
    </row>
    <row r="373" spans="3:7" x14ac:dyDescent="0.25">
      <c r="D373" s="2" t="s">
        <v>26</v>
      </c>
      <c r="F373" s="3">
        <f>SUM(F363:F372)</f>
        <v>40.242000000000004</v>
      </c>
      <c r="G373" s="3">
        <f>SUM(G363:G372)</f>
        <v>40.777500000000003</v>
      </c>
    </row>
    <row r="374" spans="3:7" x14ac:dyDescent="0.25">
      <c r="C374" s="2" t="s">
        <v>97</v>
      </c>
    </row>
    <row r="375" spans="3:7" x14ac:dyDescent="0.25">
      <c r="D375" s="2" t="s">
        <v>17</v>
      </c>
      <c r="E375" s="1">
        <f>3</f>
        <v>3</v>
      </c>
      <c r="F375" s="3">
        <f>Datos!C$3*'Atenuación tomas'!$E375</f>
        <v>0.36</v>
      </c>
      <c r="G375" s="3">
        <f>Datos!D$3*'Atenuación tomas'!$E375</f>
        <v>0.44999999999999996</v>
      </c>
    </row>
    <row r="376" spans="3:7" x14ac:dyDescent="0.25">
      <c r="D376" s="2" t="s">
        <v>50</v>
      </c>
      <c r="F376" s="3">
        <f>Datos!C$5</f>
        <v>0.8</v>
      </c>
      <c r="G376" s="3">
        <f>Datos!D$5</f>
        <v>0.8</v>
      </c>
    </row>
    <row r="377" spans="3:7" x14ac:dyDescent="0.25">
      <c r="D377" s="2" t="s">
        <v>51</v>
      </c>
      <c r="E377" s="1">
        <f>2.85</f>
        <v>2.85</v>
      </c>
      <c r="F377" s="3">
        <f>Datos!C$3*'Atenuación tomas'!$E377</f>
        <v>0.34199999999999997</v>
      </c>
      <c r="G377" s="3">
        <f>Datos!D$3*'Atenuación tomas'!$E377</f>
        <v>0.42749999999999999</v>
      </c>
    </row>
    <row r="378" spans="3:7" x14ac:dyDescent="0.25">
      <c r="D378" s="2" t="s">
        <v>90</v>
      </c>
      <c r="F378" s="3">
        <f>Datos!C$8</f>
        <v>3.3</v>
      </c>
      <c r="G378" s="3">
        <f>Datos!D$8</f>
        <v>3.3</v>
      </c>
    </row>
    <row r="379" spans="3:7" x14ac:dyDescent="0.25">
      <c r="D379" s="2" t="s">
        <v>51</v>
      </c>
      <c r="E379" s="1">
        <f>2.85</f>
        <v>2.85</v>
      </c>
      <c r="F379" s="3">
        <f>Datos!C$3*'Atenuación tomas'!$E379</f>
        <v>0.34199999999999997</v>
      </c>
      <c r="G379" s="3">
        <f>Datos!D$3*'Atenuación tomas'!$E379</f>
        <v>0.42749999999999999</v>
      </c>
    </row>
    <row r="380" spans="3:7" x14ac:dyDescent="0.25">
      <c r="D380" s="2" t="s">
        <v>54</v>
      </c>
      <c r="F380" s="3">
        <f>Datos!C$9</f>
        <v>17</v>
      </c>
      <c r="G380" s="3">
        <f>Datos!D$9</f>
        <v>17</v>
      </c>
    </row>
    <row r="381" spans="3:7" x14ac:dyDescent="0.25">
      <c r="D381" s="2" t="s">
        <v>74</v>
      </c>
      <c r="E381" s="1">
        <f>4.84</f>
        <v>4.84</v>
      </c>
      <c r="F381" s="3">
        <f>Datos!C$3*'Atenuación tomas'!$E381</f>
        <v>0.58079999999999998</v>
      </c>
      <c r="G381" s="3">
        <f>Datos!D$3*'Atenuación tomas'!$E381</f>
        <v>0.72599999999999998</v>
      </c>
    </row>
    <row r="382" spans="3:7" x14ac:dyDescent="0.25">
      <c r="D382" s="2" t="s">
        <v>55</v>
      </c>
      <c r="F382" s="3">
        <f>Datos!C$19</f>
        <v>13</v>
      </c>
      <c r="G382" s="3">
        <f>Datos!D$19</f>
        <v>13</v>
      </c>
    </row>
    <row r="383" spans="3:7" x14ac:dyDescent="0.25">
      <c r="D383" s="2" t="s">
        <v>81</v>
      </c>
      <c r="E383" s="1">
        <f>7.35</f>
        <v>7.35</v>
      </c>
      <c r="F383" s="3">
        <f>Datos!C$3*'Atenuación tomas'!$E383</f>
        <v>0.8819999999999999</v>
      </c>
      <c r="G383" s="3">
        <f>Datos!D$3*'Atenuación tomas'!$E383</f>
        <v>1.1024999999999998</v>
      </c>
    </row>
    <row r="384" spans="3:7" x14ac:dyDescent="0.25">
      <c r="D384" s="2" t="s">
        <v>22</v>
      </c>
      <c r="F384" s="3">
        <f>Datos!C$21</f>
        <v>4</v>
      </c>
      <c r="G384" s="3">
        <f>Datos!D$21</f>
        <v>4</v>
      </c>
    </row>
    <row r="385" spans="3:7" x14ac:dyDescent="0.25">
      <c r="D385" s="2" t="s">
        <v>26</v>
      </c>
      <c r="F385" s="3">
        <f>SUM(F375:F384)</f>
        <v>40.6068</v>
      </c>
      <c r="G385" s="3">
        <f>SUM(G375:G384)</f>
        <v>41.233499999999999</v>
      </c>
    </row>
    <row r="386" spans="3:7" x14ac:dyDescent="0.25">
      <c r="C386" s="2" t="s">
        <v>98</v>
      </c>
    </row>
    <row r="387" spans="3:7" x14ac:dyDescent="0.25">
      <c r="D387" s="2" t="s">
        <v>17</v>
      </c>
      <c r="E387" s="1">
        <f>3</f>
        <v>3</v>
      </c>
      <c r="F387" s="3">
        <f>Datos!C$3*'Atenuación tomas'!$E387</f>
        <v>0.36</v>
      </c>
      <c r="G387" s="3">
        <f>Datos!D$3*'Atenuación tomas'!$E387</f>
        <v>0.44999999999999996</v>
      </c>
    </row>
    <row r="388" spans="3:7" x14ac:dyDescent="0.25">
      <c r="D388" s="2" t="s">
        <v>50</v>
      </c>
      <c r="F388" s="3">
        <f>Datos!C$5</f>
        <v>0.8</v>
      </c>
      <c r="G388" s="3">
        <f>Datos!D$5</f>
        <v>0.8</v>
      </c>
    </row>
    <row r="389" spans="3:7" x14ac:dyDescent="0.25">
      <c r="D389" s="2" t="s">
        <v>51</v>
      </c>
      <c r="E389" s="1">
        <f>2.85</f>
        <v>2.85</v>
      </c>
      <c r="F389" s="3">
        <f>Datos!C$3*'Atenuación tomas'!$E389</f>
        <v>0.34199999999999997</v>
      </c>
      <c r="G389" s="3">
        <f>Datos!D$3*'Atenuación tomas'!$E389</f>
        <v>0.42749999999999999</v>
      </c>
    </row>
    <row r="390" spans="3:7" x14ac:dyDescent="0.25">
      <c r="D390" s="2" t="s">
        <v>90</v>
      </c>
      <c r="F390" s="3">
        <f>Datos!C$8</f>
        <v>3.3</v>
      </c>
      <c r="G390" s="3">
        <f>Datos!D$8</f>
        <v>3.3</v>
      </c>
    </row>
    <row r="391" spans="3:7" x14ac:dyDescent="0.25">
      <c r="D391" s="2" t="s">
        <v>51</v>
      </c>
      <c r="E391" s="1">
        <f>2.85</f>
        <v>2.85</v>
      </c>
      <c r="F391" s="3">
        <f>Datos!C$3*'Atenuación tomas'!$E391</f>
        <v>0.34199999999999997</v>
      </c>
      <c r="G391" s="3">
        <f>Datos!D$3*'Atenuación tomas'!$E391</f>
        <v>0.42749999999999999</v>
      </c>
    </row>
    <row r="392" spans="3:7" x14ac:dyDescent="0.25">
      <c r="D392" s="2" t="s">
        <v>54</v>
      </c>
      <c r="F392" s="3">
        <f>Datos!C$9</f>
        <v>17</v>
      </c>
      <c r="G392" s="3">
        <f>Datos!D$9</f>
        <v>17</v>
      </c>
    </row>
    <row r="393" spans="3:7" x14ac:dyDescent="0.25">
      <c r="D393" s="2" t="s">
        <v>74</v>
      </c>
      <c r="E393" s="1">
        <f>4.84</f>
        <v>4.84</v>
      </c>
      <c r="F393" s="3">
        <f>Datos!C$3*'Atenuación tomas'!$E393</f>
        <v>0.58079999999999998</v>
      </c>
      <c r="G393" s="3">
        <f>Datos!D$3*'Atenuación tomas'!$E393</f>
        <v>0.72599999999999998</v>
      </c>
    </row>
    <row r="394" spans="3:7" x14ac:dyDescent="0.25">
      <c r="D394" s="2" t="s">
        <v>55</v>
      </c>
      <c r="F394" s="3">
        <f>Datos!C$19</f>
        <v>13</v>
      </c>
      <c r="G394" s="3">
        <f>Datos!D$19</f>
        <v>13</v>
      </c>
    </row>
    <row r="395" spans="3:7" x14ac:dyDescent="0.25">
      <c r="D395" s="2" t="s">
        <v>82</v>
      </c>
      <c r="E395" s="1">
        <f>8.51</f>
        <v>8.51</v>
      </c>
      <c r="F395" s="3">
        <f>Datos!C$3*'Atenuación tomas'!$E395</f>
        <v>1.0211999999999999</v>
      </c>
      <c r="G395" s="3">
        <f>Datos!D$3*'Atenuación tomas'!$E395</f>
        <v>1.2765</v>
      </c>
    </row>
    <row r="396" spans="3:7" x14ac:dyDescent="0.25">
      <c r="D396" s="2" t="s">
        <v>22</v>
      </c>
      <c r="F396" s="3">
        <f>Datos!C$21</f>
        <v>4</v>
      </c>
      <c r="G396" s="3">
        <f>Datos!D$21</f>
        <v>4</v>
      </c>
    </row>
    <row r="397" spans="3:7" x14ac:dyDescent="0.25">
      <c r="D397" s="2" t="s">
        <v>26</v>
      </c>
      <c r="F397" s="3">
        <f>SUM(F387:F396)</f>
        <v>40.746000000000002</v>
      </c>
      <c r="G397" s="3">
        <f>SUM(G387:G396)</f>
        <v>41.407499999999999</v>
      </c>
    </row>
    <row r="398" spans="3:7" x14ac:dyDescent="0.25">
      <c r="C398" s="2" t="s">
        <v>99</v>
      </c>
    </row>
    <row r="399" spans="3:7" x14ac:dyDescent="0.25">
      <c r="D399" s="2" t="s">
        <v>17</v>
      </c>
      <c r="E399" s="1">
        <f>3</f>
        <v>3</v>
      </c>
      <c r="F399" s="3">
        <f>Datos!C$3*'Atenuación tomas'!$E399</f>
        <v>0.36</v>
      </c>
      <c r="G399" s="3">
        <f>Datos!D$3*'Atenuación tomas'!$E399</f>
        <v>0.44999999999999996</v>
      </c>
    </row>
    <row r="400" spans="3:7" x14ac:dyDescent="0.25">
      <c r="D400" s="2" t="s">
        <v>50</v>
      </c>
      <c r="F400" s="3">
        <f>Datos!C$5</f>
        <v>0.8</v>
      </c>
      <c r="G400" s="3">
        <f>Datos!D$5</f>
        <v>0.8</v>
      </c>
    </row>
    <row r="401" spans="1:7" x14ac:dyDescent="0.25">
      <c r="D401" s="2" t="s">
        <v>51</v>
      </c>
      <c r="E401" s="1">
        <f>2.85</f>
        <v>2.85</v>
      </c>
      <c r="F401" s="3">
        <f>Datos!C$3*'Atenuación tomas'!$E401</f>
        <v>0.34199999999999997</v>
      </c>
      <c r="G401" s="3">
        <f>Datos!D$3*'Atenuación tomas'!$E401</f>
        <v>0.42749999999999999</v>
      </c>
    </row>
    <row r="402" spans="1:7" x14ac:dyDescent="0.25">
      <c r="D402" s="2" t="s">
        <v>90</v>
      </c>
      <c r="F402" s="3">
        <f>Datos!C$8</f>
        <v>3.3</v>
      </c>
      <c r="G402" s="3">
        <f>Datos!D$8</f>
        <v>3.3</v>
      </c>
    </row>
    <row r="403" spans="1:7" x14ac:dyDescent="0.25">
      <c r="D403" s="2" t="s">
        <v>51</v>
      </c>
      <c r="E403" s="1">
        <f>2.85</f>
        <v>2.85</v>
      </c>
      <c r="F403" s="3">
        <f>Datos!C$3*'Atenuación tomas'!$E403</f>
        <v>0.34199999999999997</v>
      </c>
      <c r="G403" s="3">
        <f>Datos!D$3*'Atenuación tomas'!$E403</f>
        <v>0.42749999999999999</v>
      </c>
    </row>
    <row r="404" spans="1:7" x14ac:dyDescent="0.25">
      <c r="D404" s="2" t="s">
        <v>54</v>
      </c>
      <c r="F404" s="3">
        <f>Datos!C$9</f>
        <v>17</v>
      </c>
      <c r="G404" s="3">
        <f>Datos!D$9</f>
        <v>17</v>
      </c>
    </row>
    <row r="405" spans="1:7" x14ac:dyDescent="0.25">
      <c r="D405" s="2" t="s">
        <v>74</v>
      </c>
      <c r="E405" s="1">
        <f>4.84</f>
        <v>4.84</v>
      </c>
      <c r="F405" s="3">
        <f>Datos!C$3*'Atenuación tomas'!$E405</f>
        <v>0.58079999999999998</v>
      </c>
      <c r="G405" s="3">
        <f>Datos!D$3*'Atenuación tomas'!$E405</f>
        <v>0.72599999999999998</v>
      </c>
    </row>
    <row r="406" spans="1:7" x14ac:dyDescent="0.25">
      <c r="D406" s="2" t="s">
        <v>55</v>
      </c>
      <c r="F406" s="3">
        <f>Datos!C$19</f>
        <v>13</v>
      </c>
      <c r="G406" s="3">
        <f>Datos!D$19</f>
        <v>13</v>
      </c>
    </row>
    <row r="407" spans="1:7" x14ac:dyDescent="0.25">
      <c r="D407" s="2" t="s">
        <v>83</v>
      </c>
      <c r="E407" s="1">
        <f>10.12</f>
        <v>10.119999999999999</v>
      </c>
      <c r="F407" s="3">
        <f>Datos!C$3*'Atenuación tomas'!$E407</f>
        <v>1.2143999999999999</v>
      </c>
      <c r="G407" s="3">
        <f>Datos!D$3*'Atenuación tomas'!$E407</f>
        <v>1.5179999999999998</v>
      </c>
    </row>
    <row r="408" spans="1:7" x14ac:dyDescent="0.25">
      <c r="D408" s="2" t="s">
        <v>22</v>
      </c>
      <c r="F408" s="3">
        <f>Datos!C$21</f>
        <v>4</v>
      </c>
      <c r="G408" s="3">
        <f>Datos!D$21</f>
        <v>4</v>
      </c>
    </row>
    <row r="409" spans="1:7" x14ac:dyDescent="0.25">
      <c r="D409" s="2" t="s">
        <v>26</v>
      </c>
      <c r="F409" s="3">
        <f>SUM(F399:F408)</f>
        <v>40.9392</v>
      </c>
      <c r="G409" s="3">
        <f>SUM(G399:G408)</f>
        <v>41.649000000000001</v>
      </c>
    </row>
    <row r="410" spans="1:7" x14ac:dyDescent="0.25">
      <c r="A410" s="2" t="s">
        <v>100</v>
      </c>
    </row>
    <row r="411" spans="1:7" x14ac:dyDescent="0.25">
      <c r="B411" s="2" t="s">
        <v>14</v>
      </c>
    </row>
    <row r="412" spans="1:7" x14ac:dyDescent="0.25">
      <c r="C412" s="2" t="s">
        <v>101</v>
      </c>
    </row>
    <row r="413" spans="1:7" x14ac:dyDescent="0.25">
      <c r="D413" s="2" t="s">
        <v>17</v>
      </c>
      <c r="E413" s="1">
        <f>3</f>
        <v>3</v>
      </c>
      <c r="F413" s="3">
        <f>Datos!C$3*'Atenuación tomas'!$E413</f>
        <v>0.36</v>
      </c>
      <c r="G413" s="3">
        <f>Datos!D$3*'Atenuación tomas'!$E413</f>
        <v>0.44999999999999996</v>
      </c>
    </row>
    <row r="414" spans="1:7" x14ac:dyDescent="0.25">
      <c r="D414" s="2" t="s">
        <v>50</v>
      </c>
      <c r="F414" s="3">
        <f>Datos!C$5</f>
        <v>0.8</v>
      </c>
      <c r="G414" s="3">
        <f>Datos!D$5</f>
        <v>0.8</v>
      </c>
    </row>
    <row r="415" spans="1:7" x14ac:dyDescent="0.25">
      <c r="D415" s="2" t="s">
        <v>51</v>
      </c>
      <c r="E415" s="1">
        <f>2.85</f>
        <v>2.85</v>
      </c>
      <c r="F415" s="3">
        <f>Datos!C$3*'Atenuación tomas'!$E415</f>
        <v>0.34199999999999997</v>
      </c>
      <c r="G415" s="3">
        <f>Datos!D$3*'Atenuación tomas'!$E415</f>
        <v>0.42749999999999999</v>
      </c>
    </row>
    <row r="416" spans="1:7" x14ac:dyDescent="0.25">
      <c r="D416" s="2" t="s">
        <v>90</v>
      </c>
      <c r="F416" s="3">
        <f>Datos!C$8</f>
        <v>3.3</v>
      </c>
      <c r="G416" s="3">
        <f>Datos!D$8</f>
        <v>3.3</v>
      </c>
    </row>
    <row r="417" spans="3:7" x14ac:dyDescent="0.25">
      <c r="D417" s="2" t="s">
        <v>51</v>
      </c>
      <c r="E417" s="1">
        <f>2.85</f>
        <v>2.85</v>
      </c>
      <c r="F417" s="3">
        <f>Datos!C$3*'Atenuación tomas'!$E417</f>
        <v>0.34199999999999997</v>
      </c>
      <c r="G417" s="3">
        <f>Datos!D$3*'Atenuación tomas'!$E417</f>
        <v>0.42749999999999999</v>
      </c>
    </row>
    <row r="418" spans="3:7" x14ac:dyDescent="0.25">
      <c r="D418" s="2" t="s">
        <v>90</v>
      </c>
      <c r="F418" s="3">
        <f>Datos!C$8</f>
        <v>3.3</v>
      </c>
      <c r="G418" s="3">
        <f>Datos!D$8</f>
        <v>3.3</v>
      </c>
    </row>
    <row r="419" spans="3:7" x14ac:dyDescent="0.25">
      <c r="D419" s="2" t="s">
        <v>51</v>
      </c>
      <c r="E419" s="1">
        <f>2.85</f>
        <v>2.85</v>
      </c>
      <c r="F419" s="3">
        <f>Datos!C$3*'Atenuación tomas'!$E419</f>
        <v>0.34199999999999997</v>
      </c>
      <c r="G419" s="3">
        <f>Datos!D$3*'Atenuación tomas'!$E419</f>
        <v>0.42749999999999999</v>
      </c>
    </row>
    <row r="420" spans="3:7" x14ac:dyDescent="0.25">
      <c r="D420" s="2" t="s">
        <v>102</v>
      </c>
      <c r="F420" s="3">
        <f>Datos!C$12</f>
        <v>13</v>
      </c>
      <c r="G420" s="3">
        <f>Datos!D$12</f>
        <v>13</v>
      </c>
    </row>
    <row r="421" spans="3:7" x14ac:dyDescent="0.25">
      <c r="D421" s="2" t="s">
        <v>52</v>
      </c>
      <c r="E421" s="1">
        <f>1.12</f>
        <v>1.1200000000000001</v>
      </c>
      <c r="F421" s="3">
        <f>Datos!C$3*'Atenuación tomas'!$E421</f>
        <v>0.13440000000000002</v>
      </c>
      <c r="G421" s="3">
        <f>Datos!D$3*'Atenuación tomas'!$E421</f>
        <v>0.16800000000000001</v>
      </c>
    </row>
    <row r="422" spans="3:7" x14ac:dyDescent="0.25">
      <c r="D422" s="2" t="s">
        <v>55</v>
      </c>
      <c r="F422" s="3">
        <f>Datos!C$19</f>
        <v>13</v>
      </c>
      <c r="G422" s="3">
        <f>Datos!D$19</f>
        <v>13</v>
      </c>
    </row>
    <row r="423" spans="3:7" x14ac:dyDescent="0.25">
      <c r="D423" s="2" t="s">
        <v>53</v>
      </c>
      <c r="E423" s="1">
        <f>13.92</f>
        <v>13.92</v>
      </c>
      <c r="F423" s="3">
        <f>Datos!C$3*'Atenuación tomas'!$E423</f>
        <v>1.6703999999999999</v>
      </c>
      <c r="G423" s="3">
        <f>Datos!D$3*'Atenuación tomas'!$E423</f>
        <v>2.0880000000000001</v>
      </c>
    </row>
    <row r="424" spans="3:7" x14ac:dyDescent="0.25">
      <c r="D424" s="2" t="s">
        <v>22</v>
      </c>
      <c r="F424" s="3">
        <f>Datos!C$21</f>
        <v>4</v>
      </c>
      <c r="G424" s="3">
        <f>Datos!D$21</f>
        <v>4</v>
      </c>
    </row>
    <row r="425" spans="3:7" x14ac:dyDescent="0.25">
      <c r="D425" s="2" t="s">
        <v>26</v>
      </c>
      <c r="F425" s="3">
        <f>SUM(F413:F424)</f>
        <v>40.590800000000002</v>
      </c>
      <c r="G425" s="3">
        <f>SUM(G413:G424)</f>
        <v>41.388500000000001</v>
      </c>
    </row>
    <row r="426" spans="3:7" x14ac:dyDescent="0.25">
      <c r="C426" s="2" t="s">
        <v>103</v>
      </c>
    </row>
    <row r="427" spans="3:7" x14ac:dyDescent="0.25">
      <c r="D427" s="2" t="s">
        <v>17</v>
      </c>
      <c r="E427" s="1">
        <f>3</f>
        <v>3</v>
      </c>
      <c r="F427" s="3">
        <f>Datos!C$3*'Atenuación tomas'!$E427</f>
        <v>0.36</v>
      </c>
      <c r="G427" s="3">
        <f>Datos!D$3*'Atenuación tomas'!$E427</f>
        <v>0.44999999999999996</v>
      </c>
    </row>
    <row r="428" spans="3:7" x14ac:dyDescent="0.25">
      <c r="D428" s="2" t="s">
        <v>50</v>
      </c>
      <c r="F428" s="3">
        <f>Datos!C$5</f>
        <v>0.8</v>
      </c>
      <c r="G428" s="3">
        <f>Datos!D$5</f>
        <v>0.8</v>
      </c>
    </row>
    <row r="429" spans="3:7" x14ac:dyDescent="0.25">
      <c r="D429" s="2" t="s">
        <v>51</v>
      </c>
      <c r="E429" s="1">
        <f>2.85</f>
        <v>2.85</v>
      </c>
      <c r="F429" s="3">
        <f>Datos!C$3*'Atenuación tomas'!$E429</f>
        <v>0.34199999999999997</v>
      </c>
      <c r="G429" s="3">
        <f>Datos!D$3*'Atenuación tomas'!$E429</f>
        <v>0.42749999999999999</v>
      </c>
    </row>
    <row r="430" spans="3:7" x14ac:dyDescent="0.25">
      <c r="D430" s="2" t="s">
        <v>90</v>
      </c>
      <c r="F430" s="3">
        <f>Datos!C$8</f>
        <v>3.3</v>
      </c>
      <c r="G430" s="3">
        <f>Datos!D$8</f>
        <v>3.3</v>
      </c>
    </row>
    <row r="431" spans="3:7" x14ac:dyDescent="0.25">
      <c r="D431" s="2" t="s">
        <v>51</v>
      </c>
      <c r="E431" s="1">
        <f>2.85</f>
        <v>2.85</v>
      </c>
      <c r="F431" s="3">
        <f>Datos!C$3*'Atenuación tomas'!$E431</f>
        <v>0.34199999999999997</v>
      </c>
      <c r="G431" s="3">
        <f>Datos!D$3*'Atenuación tomas'!$E431</f>
        <v>0.42749999999999999</v>
      </c>
    </row>
    <row r="432" spans="3:7" x14ac:dyDescent="0.25">
      <c r="D432" s="2" t="s">
        <v>90</v>
      </c>
      <c r="F432" s="3">
        <f>Datos!C$8</f>
        <v>3.3</v>
      </c>
      <c r="G432" s="3">
        <f>Datos!D$8</f>
        <v>3.3</v>
      </c>
    </row>
    <row r="433" spans="3:7" x14ac:dyDescent="0.25">
      <c r="D433" s="2" t="s">
        <v>51</v>
      </c>
      <c r="E433" s="1">
        <f>2.85</f>
        <v>2.85</v>
      </c>
      <c r="F433" s="3">
        <f>Datos!C$3*'Atenuación tomas'!$E433</f>
        <v>0.34199999999999997</v>
      </c>
      <c r="G433" s="3">
        <f>Datos!D$3*'Atenuación tomas'!$E433</f>
        <v>0.42749999999999999</v>
      </c>
    </row>
    <row r="434" spans="3:7" x14ac:dyDescent="0.25">
      <c r="D434" s="2" t="s">
        <v>102</v>
      </c>
      <c r="F434" s="3">
        <f>Datos!C$12</f>
        <v>13</v>
      </c>
      <c r="G434" s="3">
        <f>Datos!D$12</f>
        <v>13</v>
      </c>
    </row>
    <row r="435" spans="3:7" x14ac:dyDescent="0.25">
      <c r="D435" s="2" t="s">
        <v>52</v>
      </c>
      <c r="E435" s="1">
        <f>1.12</f>
        <v>1.1200000000000001</v>
      </c>
      <c r="F435" s="3">
        <f>Datos!C$3*'Atenuación tomas'!$E435</f>
        <v>0.13440000000000002</v>
      </c>
      <c r="G435" s="3">
        <f>Datos!D$3*'Atenuación tomas'!$E435</f>
        <v>0.16800000000000001</v>
      </c>
    </row>
    <row r="436" spans="3:7" x14ac:dyDescent="0.25">
      <c r="D436" s="2" t="s">
        <v>55</v>
      </c>
      <c r="F436" s="3">
        <f>Datos!C$19</f>
        <v>13</v>
      </c>
      <c r="G436" s="3">
        <f>Datos!D$19</f>
        <v>13</v>
      </c>
    </row>
    <row r="437" spans="3:7" x14ac:dyDescent="0.25">
      <c r="D437" s="2" t="s">
        <v>60</v>
      </c>
      <c r="E437" s="1">
        <f>6.13</f>
        <v>6.13</v>
      </c>
      <c r="F437" s="3">
        <f>Datos!C$3*'Atenuación tomas'!$E437</f>
        <v>0.73559999999999992</v>
      </c>
      <c r="G437" s="3">
        <f>Datos!D$3*'Atenuación tomas'!$E437</f>
        <v>0.91949999999999998</v>
      </c>
    </row>
    <row r="438" spans="3:7" x14ac:dyDescent="0.25">
      <c r="D438" s="2" t="s">
        <v>22</v>
      </c>
      <c r="F438" s="3">
        <f>Datos!C$21</f>
        <v>4</v>
      </c>
      <c r="G438" s="3">
        <f>Datos!D$21</f>
        <v>4</v>
      </c>
    </row>
    <row r="439" spans="3:7" x14ac:dyDescent="0.25">
      <c r="D439" s="2" t="s">
        <v>26</v>
      </c>
      <c r="F439" s="3">
        <f>SUM(F427:F438)</f>
        <v>39.655999999999999</v>
      </c>
      <c r="G439" s="3">
        <f>SUM(G427:G438)</f>
        <v>40.22</v>
      </c>
    </row>
    <row r="440" spans="3:7" x14ac:dyDescent="0.25">
      <c r="C440" s="2" t="s">
        <v>104</v>
      </c>
    </row>
    <row r="441" spans="3:7" x14ac:dyDescent="0.25">
      <c r="D441" s="2" t="s">
        <v>17</v>
      </c>
      <c r="E441" s="1">
        <f>3</f>
        <v>3</v>
      </c>
      <c r="F441" s="3">
        <f>Datos!C$3*'Atenuación tomas'!$E441</f>
        <v>0.36</v>
      </c>
      <c r="G441" s="3">
        <f>Datos!D$3*'Atenuación tomas'!$E441</f>
        <v>0.44999999999999996</v>
      </c>
    </row>
    <row r="442" spans="3:7" x14ac:dyDescent="0.25">
      <c r="D442" s="2" t="s">
        <v>50</v>
      </c>
      <c r="F442" s="3">
        <f>Datos!C$5</f>
        <v>0.8</v>
      </c>
      <c r="G442" s="3">
        <f>Datos!D$5</f>
        <v>0.8</v>
      </c>
    </row>
    <row r="443" spans="3:7" x14ac:dyDescent="0.25">
      <c r="D443" s="2" t="s">
        <v>51</v>
      </c>
      <c r="E443" s="1">
        <f>2.85</f>
        <v>2.85</v>
      </c>
      <c r="F443" s="3">
        <f>Datos!C$3*'Atenuación tomas'!$E443</f>
        <v>0.34199999999999997</v>
      </c>
      <c r="G443" s="3">
        <f>Datos!D$3*'Atenuación tomas'!$E443</f>
        <v>0.42749999999999999</v>
      </c>
    </row>
    <row r="444" spans="3:7" x14ac:dyDescent="0.25">
      <c r="D444" s="2" t="s">
        <v>90</v>
      </c>
      <c r="F444" s="3">
        <f>Datos!C$8</f>
        <v>3.3</v>
      </c>
      <c r="G444" s="3">
        <f>Datos!D$8</f>
        <v>3.3</v>
      </c>
    </row>
    <row r="445" spans="3:7" x14ac:dyDescent="0.25">
      <c r="D445" s="2" t="s">
        <v>51</v>
      </c>
      <c r="E445" s="1">
        <f>2.85</f>
        <v>2.85</v>
      </c>
      <c r="F445" s="3">
        <f>Datos!C$3*'Atenuación tomas'!$E445</f>
        <v>0.34199999999999997</v>
      </c>
      <c r="G445" s="3">
        <f>Datos!D$3*'Atenuación tomas'!$E445</f>
        <v>0.42749999999999999</v>
      </c>
    </row>
    <row r="446" spans="3:7" x14ac:dyDescent="0.25">
      <c r="D446" s="2" t="s">
        <v>90</v>
      </c>
      <c r="F446" s="3">
        <f>Datos!C$8</f>
        <v>3.3</v>
      </c>
      <c r="G446" s="3">
        <f>Datos!D$8</f>
        <v>3.3</v>
      </c>
    </row>
    <row r="447" spans="3:7" x14ac:dyDescent="0.25">
      <c r="D447" s="2" t="s">
        <v>51</v>
      </c>
      <c r="E447" s="1">
        <f>2.85</f>
        <v>2.85</v>
      </c>
      <c r="F447" s="3">
        <f>Datos!C$3*'Atenuación tomas'!$E447</f>
        <v>0.34199999999999997</v>
      </c>
      <c r="G447" s="3">
        <f>Datos!D$3*'Atenuación tomas'!$E447</f>
        <v>0.42749999999999999</v>
      </c>
    </row>
    <row r="448" spans="3:7" x14ac:dyDescent="0.25">
      <c r="D448" s="2" t="s">
        <v>102</v>
      </c>
      <c r="F448" s="3">
        <f>Datos!C$12</f>
        <v>13</v>
      </c>
      <c r="G448" s="3">
        <f>Datos!D$12</f>
        <v>13</v>
      </c>
    </row>
    <row r="449" spans="3:7" x14ac:dyDescent="0.25">
      <c r="D449" s="2" t="s">
        <v>52</v>
      </c>
      <c r="E449" s="1">
        <f>1.12</f>
        <v>1.1200000000000001</v>
      </c>
      <c r="F449" s="3">
        <f>Datos!C$3*'Atenuación tomas'!$E449</f>
        <v>0.13440000000000002</v>
      </c>
      <c r="G449" s="3">
        <f>Datos!D$3*'Atenuación tomas'!$E449</f>
        <v>0.16800000000000001</v>
      </c>
    </row>
    <row r="450" spans="3:7" x14ac:dyDescent="0.25">
      <c r="D450" s="2" t="s">
        <v>55</v>
      </c>
      <c r="F450" s="3">
        <f>Datos!C$19</f>
        <v>13</v>
      </c>
      <c r="G450" s="3">
        <f>Datos!D$19</f>
        <v>13</v>
      </c>
    </row>
    <row r="451" spans="3:7" x14ac:dyDescent="0.25">
      <c r="D451" s="2" t="s">
        <v>61</v>
      </c>
      <c r="E451" s="1">
        <f>8</f>
        <v>8</v>
      </c>
      <c r="F451" s="3">
        <f>Datos!C$3*'Atenuación tomas'!$E451</f>
        <v>0.96</v>
      </c>
      <c r="G451" s="3">
        <f>Datos!D$3*'Atenuación tomas'!$E451</f>
        <v>1.2</v>
      </c>
    </row>
    <row r="452" spans="3:7" x14ac:dyDescent="0.25">
      <c r="D452" s="2" t="s">
        <v>22</v>
      </c>
      <c r="F452" s="3">
        <f>Datos!C$21</f>
        <v>4</v>
      </c>
      <c r="G452" s="3">
        <f>Datos!D$21</f>
        <v>4</v>
      </c>
    </row>
    <row r="453" spans="3:7" x14ac:dyDescent="0.25">
      <c r="D453" s="2" t="s">
        <v>26</v>
      </c>
      <c r="F453" s="3">
        <f>SUM(F441:F452)</f>
        <v>39.880400000000002</v>
      </c>
      <c r="G453" s="3">
        <f>SUM(G441:G452)</f>
        <v>40.500500000000002</v>
      </c>
    </row>
    <row r="454" spans="3:7" x14ac:dyDescent="0.25">
      <c r="C454" s="2" t="s">
        <v>105</v>
      </c>
    </row>
    <row r="455" spans="3:7" x14ac:dyDescent="0.25">
      <c r="D455" s="2" t="s">
        <v>17</v>
      </c>
      <c r="E455" s="1">
        <f>3</f>
        <v>3</v>
      </c>
      <c r="F455" s="3">
        <f>Datos!C$3*'Atenuación tomas'!$E455</f>
        <v>0.36</v>
      </c>
      <c r="G455" s="3">
        <f>Datos!D$3*'Atenuación tomas'!$E455</f>
        <v>0.44999999999999996</v>
      </c>
    </row>
    <row r="456" spans="3:7" x14ac:dyDescent="0.25">
      <c r="D456" s="2" t="s">
        <v>50</v>
      </c>
      <c r="F456" s="3">
        <f>Datos!C$5</f>
        <v>0.8</v>
      </c>
      <c r="G456" s="3">
        <f>Datos!D$5</f>
        <v>0.8</v>
      </c>
    </row>
    <row r="457" spans="3:7" x14ac:dyDescent="0.25">
      <c r="D457" s="2" t="s">
        <v>51</v>
      </c>
      <c r="E457" s="1">
        <f>2.85</f>
        <v>2.85</v>
      </c>
      <c r="F457" s="3">
        <f>Datos!C$3*'Atenuación tomas'!$E457</f>
        <v>0.34199999999999997</v>
      </c>
      <c r="G457" s="3">
        <f>Datos!D$3*'Atenuación tomas'!$E457</f>
        <v>0.42749999999999999</v>
      </c>
    </row>
    <row r="458" spans="3:7" x14ac:dyDescent="0.25">
      <c r="D458" s="2" t="s">
        <v>90</v>
      </c>
      <c r="F458" s="3">
        <f>Datos!C$8</f>
        <v>3.3</v>
      </c>
      <c r="G458" s="3">
        <f>Datos!D$8</f>
        <v>3.3</v>
      </c>
    </row>
    <row r="459" spans="3:7" x14ac:dyDescent="0.25">
      <c r="D459" s="2" t="s">
        <v>51</v>
      </c>
      <c r="E459" s="1">
        <f>2.85</f>
        <v>2.85</v>
      </c>
      <c r="F459" s="3">
        <f>Datos!C$3*'Atenuación tomas'!$E459</f>
        <v>0.34199999999999997</v>
      </c>
      <c r="G459" s="3">
        <f>Datos!D$3*'Atenuación tomas'!$E459</f>
        <v>0.42749999999999999</v>
      </c>
    </row>
    <row r="460" spans="3:7" x14ac:dyDescent="0.25">
      <c r="D460" s="2" t="s">
        <v>90</v>
      </c>
      <c r="F460" s="3">
        <f>Datos!C$8</f>
        <v>3.3</v>
      </c>
      <c r="G460" s="3">
        <f>Datos!D$8</f>
        <v>3.3</v>
      </c>
    </row>
    <row r="461" spans="3:7" x14ac:dyDescent="0.25">
      <c r="D461" s="2" t="s">
        <v>51</v>
      </c>
      <c r="E461" s="1">
        <f>2.85</f>
        <v>2.85</v>
      </c>
      <c r="F461" s="3">
        <f>Datos!C$3*'Atenuación tomas'!$E461</f>
        <v>0.34199999999999997</v>
      </c>
      <c r="G461" s="3">
        <f>Datos!D$3*'Atenuación tomas'!$E461</f>
        <v>0.42749999999999999</v>
      </c>
    </row>
    <row r="462" spans="3:7" x14ac:dyDescent="0.25">
      <c r="D462" s="2" t="s">
        <v>102</v>
      </c>
      <c r="F462" s="3">
        <f>Datos!C$12</f>
        <v>13</v>
      </c>
      <c r="G462" s="3">
        <f>Datos!D$12</f>
        <v>13</v>
      </c>
    </row>
    <row r="463" spans="3:7" x14ac:dyDescent="0.25">
      <c r="D463" s="2" t="s">
        <v>52</v>
      </c>
      <c r="E463" s="1">
        <f>1.12</f>
        <v>1.1200000000000001</v>
      </c>
      <c r="F463" s="3">
        <f>Datos!C$3*'Atenuación tomas'!$E463</f>
        <v>0.13440000000000002</v>
      </c>
      <c r="G463" s="3">
        <f>Datos!D$3*'Atenuación tomas'!$E463</f>
        <v>0.16800000000000001</v>
      </c>
    </row>
    <row r="464" spans="3:7" x14ac:dyDescent="0.25">
      <c r="D464" s="2" t="s">
        <v>55</v>
      </c>
      <c r="F464" s="3">
        <f>Datos!C$19</f>
        <v>13</v>
      </c>
      <c r="G464" s="3">
        <f>Datos!D$19</f>
        <v>13</v>
      </c>
    </row>
    <row r="465" spans="3:7" x14ac:dyDescent="0.25">
      <c r="D465" s="2" t="s">
        <v>62</v>
      </c>
      <c r="E465" s="1">
        <f>7.74</f>
        <v>7.74</v>
      </c>
      <c r="F465" s="3">
        <f>Datos!C$3*'Atenuación tomas'!$E465</f>
        <v>0.92879999999999996</v>
      </c>
      <c r="G465" s="3">
        <f>Datos!D$3*'Atenuación tomas'!$E465</f>
        <v>1.161</v>
      </c>
    </row>
    <row r="466" spans="3:7" x14ac:dyDescent="0.25">
      <c r="D466" s="2" t="s">
        <v>22</v>
      </c>
      <c r="F466" s="3">
        <f>Datos!C$21</f>
        <v>4</v>
      </c>
      <c r="G466" s="3">
        <f>Datos!D$21</f>
        <v>4</v>
      </c>
    </row>
    <row r="467" spans="3:7" x14ac:dyDescent="0.25">
      <c r="D467" s="2" t="s">
        <v>26</v>
      </c>
      <c r="F467" s="3">
        <f>SUM(F455:F466)</f>
        <v>39.849200000000003</v>
      </c>
      <c r="G467" s="3">
        <f>SUM(G455:G466)</f>
        <v>40.461500000000001</v>
      </c>
    </row>
    <row r="468" spans="3:7" x14ac:dyDescent="0.25">
      <c r="C468" s="2" t="s">
        <v>106</v>
      </c>
    </row>
    <row r="469" spans="3:7" x14ac:dyDescent="0.25">
      <c r="D469" s="2" t="s">
        <v>17</v>
      </c>
      <c r="E469" s="1">
        <f>3</f>
        <v>3</v>
      </c>
      <c r="F469" s="3">
        <f>Datos!C$3*'Atenuación tomas'!$E469</f>
        <v>0.36</v>
      </c>
      <c r="G469" s="3">
        <f>Datos!D$3*'Atenuación tomas'!$E469</f>
        <v>0.44999999999999996</v>
      </c>
    </row>
    <row r="470" spans="3:7" x14ac:dyDescent="0.25">
      <c r="D470" s="2" t="s">
        <v>50</v>
      </c>
      <c r="F470" s="3">
        <f>Datos!C$5</f>
        <v>0.8</v>
      </c>
      <c r="G470" s="3">
        <f>Datos!D$5</f>
        <v>0.8</v>
      </c>
    </row>
    <row r="471" spans="3:7" x14ac:dyDescent="0.25">
      <c r="D471" s="2" t="s">
        <v>51</v>
      </c>
      <c r="E471" s="1">
        <f>2.85</f>
        <v>2.85</v>
      </c>
      <c r="F471" s="3">
        <f>Datos!C$3*'Atenuación tomas'!$E471</f>
        <v>0.34199999999999997</v>
      </c>
      <c r="G471" s="3">
        <f>Datos!D$3*'Atenuación tomas'!$E471</f>
        <v>0.42749999999999999</v>
      </c>
    </row>
    <row r="472" spans="3:7" x14ac:dyDescent="0.25">
      <c r="D472" s="2" t="s">
        <v>90</v>
      </c>
      <c r="F472" s="3">
        <f>Datos!C$8</f>
        <v>3.3</v>
      </c>
      <c r="G472" s="3">
        <f>Datos!D$8</f>
        <v>3.3</v>
      </c>
    </row>
    <row r="473" spans="3:7" x14ac:dyDescent="0.25">
      <c r="D473" s="2" t="s">
        <v>51</v>
      </c>
      <c r="E473" s="1">
        <f>2.85</f>
        <v>2.85</v>
      </c>
      <c r="F473" s="3">
        <f>Datos!C$3*'Atenuación tomas'!$E473</f>
        <v>0.34199999999999997</v>
      </c>
      <c r="G473" s="3">
        <f>Datos!D$3*'Atenuación tomas'!$E473</f>
        <v>0.42749999999999999</v>
      </c>
    </row>
    <row r="474" spans="3:7" x14ac:dyDescent="0.25">
      <c r="D474" s="2" t="s">
        <v>90</v>
      </c>
      <c r="F474" s="3">
        <f>Datos!C$8</f>
        <v>3.3</v>
      </c>
      <c r="G474" s="3">
        <f>Datos!D$8</f>
        <v>3.3</v>
      </c>
    </row>
    <row r="475" spans="3:7" x14ac:dyDescent="0.25">
      <c r="D475" s="2" t="s">
        <v>51</v>
      </c>
      <c r="E475" s="1">
        <f>2.85</f>
        <v>2.85</v>
      </c>
      <c r="F475" s="3">
        <f>Datos!C$3*'Atenuación tomas'!$E475</f>
        <v>0.34199999999999997</v>
      </c>
      <c r="G475" s="3">
        <f>Datos!D$3*'Atenuación tomas'!$E475</f>
        <v>0.42749999999999999</v>
      </c>
    </row>
    <row r="476" spans="3:7" x14ac:dyDescent="0.25">
      <c r="D476" s="2" t="s">
        <v>102</v>
      </c>
      <c r="F476" s="3">
        <f>Datos!C$12</f>
        <v>13</v>
      </c>
      <c r="G476" s="3">
        <f>Datos!D$12</f>
        <v>13</v>
      </c>
    </row>
    <row r="477" spans="3:7" x14ac:dyDescent="0.25">
      <c r="D477" s="2" t="s">
        <v>52</v>
      </c>
      <c r="E477" s="1">
        <f>1.12</f>
        <v>1.1200000000000001</v>
      </c>
      <c r="F477" s="3">
        <f>Datos!C$3*'Atenuación tomas'!$E477</f>
        <v>0.13440000000000002</v>
      </c>
      <c r="G477" s="3">
        <f>Datos!D$3*'Atenuación tomas'!$E477</f>
        <v>0.16800000000000001</v>
      </c>
    </row>
    <row r="478" spans="3:7" x14ac:dyDescent="0.25">
      <c r="D478" s="2" t="s">
        <v>55</v>
      </c>
      <c r="F478" s="3">
        <f>Datos!C$19</f>
        <v>13</v>
      </c>
      <c r="G478" s="3">
        <f>Datos!D$19</f>
        <v>13</v>
      </c>
    </row>
    <row r="479" spans="3:7" x14ac:dyDescent="0.25">
      <c r="D479" s="2" t="s">
        <v>63</v>
      </c>
      <c r="E479" s="1">
        <f>6.51</f>
        <v>6.51</v>
      </c>
      <c r="F479" s="3">
        <f>Datos!C$3*'Atenuación tomas'!$E479</f>
        <v>0.78119999999999989</v>
      </c>
      <c r="G479" s="3">
        <f>Datos!D$3*'Atenuación tomas'!$E479</f>
        <v>0.97649999999999992</v>
      </c>
    </row>
    <row r="480" spans="3:7" x14ac:dyDescent="0.25">
      <c r="D480" s="2" t="s">
        <v>22</v>
      </c>
      <c r="F480" s="3">
        <f>Datos!C$21</f>
        <v>4</v>
      </c>
      <c r="G480" s="3">
        <f>Datos!D$21</f>
        <v>4</v>
      </c>
    </row>
    <row r="481" spans="2:7" x14ac:dyDescent="0.25">
      <c r="D481" s="2" t="s">
        <v>26</v>
      </c>
      <c r="F481" s="3">
        <f>SUM(F469:F480)</f>
        <v>39.701599999999999</v>
      </c>
      <c r="G481" s="3">
        <f>SUM(G469:G480)</f>
        <v>40.277000000000001</v>
      </c>
    </row>
    <row r="482" spans="2:7" x14ac:dyDescent="0.25">
      <c r="B482" s="2" t="s">
        <v>30</v>
      </c>
    </row>
    <row r="483" spans="2:7" x14ac:dyDescent="0.25">
      <c r="C483" s="2" t="s">
        <v>107</v>
      </c>
    </row>
    <row r="484" spans="2:7" x14ac:dyDescent="0.25">
      <c r="D484" s="2" t="s">
        <v>17</v>
      </c>
      <c r="E484" s="1">
        <f>3</f>
        <v>3</v>
      </c>
      <c r="F484" s="3">
        <f>Datos!C$3*'Atenuación tomas'!$E484</f>
        <v>0.36</v>
      </c>
      <c r="G484" s="3">
        <f>Datos!D$3*'Atenuación tomas'!$E484</f>
        <v>0.44999999999999996</v>
      </c>
    </row>
    <row r="485" spans="2:7" x14ac:dyDescent="0.25">
      <c r="D485" s="2" t="s">
        <v>50</v>
      </c>
      <c r="F485" s="3">
        <f>Datos!C$5</f>
        <v>0.8</v>
      </c>
      <c r="G485" s="3">
        <f>Datos!D$5</f>
        <v>0.8</v>
      </c>
    </row>
    <row r="486" spans="2:7" x14ac:dyDescent="0.25">
      <c r="D486" s="2" t="s">
        <v>51</v>
      </c>
      <c r="E486" s="1">
        <f>2.85</f>
        <v>2.85</v>
      </c>
      <c r="F486" s="3">
        <f>Datos!C$3*'Atenuación tomas'!$E486</f>
        <v>0.34199999999999997</v>
      </c>
      <c r="G486" s="3">
        <f>Datos!D$3*'Atenuación tomas'!$E486</f>
        <v>0.42749999999999999</v>
      </c>
    </row>
    <row r="487" spans="2:7" x14ac:dyDescent="0.25">
      <c r="D487" s="2" t="s">
        <v>90</v>
      </c>
      <c r="F487" s="3">
        <f>Datos!C$8</f>
        <v>3.3</v>
      </c>
      <c r="G487" s="3">
        <f>Datos!D$8</f>
        <v>3.3</v>
      </c>
    </row>
    <row r="488" spans="2:7" x14ac:dyDescent="0.25">
      <c r="D488" s="2" t="s">
        <v>51</v>
      </c>
      <c r="E488" s="1">
        <f>2.85</f>
        <v>2.85</v>
      </c>
      <c r="F488" s="3">
        <f>Datos!C$3*'Atenuación tomas'!$E488</f>
        <v>0.34199999999999997</v>
      </c>
      <c r="G488" s="3">
        <f>Datos!D$3*'Atenuación tomas'!$E488</f>
        <v>0.42749999999999999</v>
      </c>
    </row>
    <row r="489" spans="2:7" x14ac:dyDescent="0.25">
      <c r="D489" s="2" t="s">
        <v>90</v>
      </c>
      <c r="F489" s="3">
        <f>Datos!C$8</f>
        <v>3.3</v>
      </c>
      <c r="G489" s="3">
        <f>Datos!D$8</f>
        <v>3.3</v>
      </c>
    </row>
    <row r="490" spans="2:7" x14ac:dyDescent="0.25">
      <c r="D490" s="2" t="s">
        <v>51</v>
      </c>
      <c r="E490" s="1">
        <f>2.85</f>
        <v>2.85</v>
      </c>
      <c r="F490" s="3">
        <f>Datos!C$3*'Atenuación tomas'!$E490</f>
        <v>0.34199999999999997</v>
      </c>
      <c r="G490" s="3">
        <f>Datos!D$3*'Atenuación tomas'!$E490</f>
        <v>0.42749999999999999</v>
      </c>
    </row>
    <row r="491" spans="2:7" x14ac:dyDescent="0.25">
      <c r="D491" s="2" t="s">
        <v>102</v>
      </c>
      <c r="F491" s="3">
        <f>Datos!C$12</f>
        <v>13</v>
      </c>
      <c r="G491" s="3">
        <f>Datos!D$12</f>
        <v>13</v>
      </c>
    </row>
    <row r="492" spans="2:7" x14ac:dyDescent="0.25">
      <c r="D492" s="2" t="s">
        <v>65</v>
      </c>
      <c r="E492" s="1">
        <f>4.49</f>
        <v>4.49</v>
      </c>
      <c r="F492" s="3">
        <f>Datos!C$3*'Atenuación tomas'!$E492</f>
        <v>0.53880000000000006</v>
      </c>
      <c r="G492" s="3">
        <f>Datos!D$3*'Atenuación tomas'!$E492</f>
        <v>0.67349999999999999</v>
      </c>
    </row>
    <row r="493" spans="2:7" x14ac:dyDescent="0.25">
      <c r="D493" s="2" t="s">
        <v>20</v>
      </c>
      <c r="F493" s="3">
        <f>Datos!C$17</f>
        <v>9</v>
      </c>
      <c r="G493" s="3">
        <f>Datos!D$17</f>
        <v>9</v>
      </c>
    </row>
    <row r="494" spans="2:7" x14ac:dyDescent="0.25">
      <c r="D494" s="2" t="s">
        <v>66</v>
      </c>
      <c r="E494" s="1">
        <f>4.2</f>
        <v>4.2</v>
      </c>
      <c r="F494" s="3">
        <f>Datos!C$3*'Atenuación tomas'!$E494</f>
        <v>0.504</v>
      </c>
      <c r="G494" s="3">
        <f>Datos!D$3*'Atenuación tomas'!$E494</f>
        <v>0.63</v>
      </c>
    </row>
    <row r="495" spans="2:7" x14ac:dyDescent="0.25">
      <c r="D495" s="2" t="s">
        <v>22</v>
      </c>
      <c r="F495" s="3">
        <f>Datos!C$21</f>
        <v>4</v>
      </c>
      <c r="G495" s="3">
        <f>Datos!D$21</f>
        <v>4</v>
      </c>
    </row>
    <row r="496" spans="2:7" x14ac:dyDescent="0.25">
      <c r="D496" s="2" t="s">
        <v>26</v>
      </c>
      <c r="F496" s="3">
        <f>SUM(F484:F495)</f>
        <v>35.828800000000001</v>
      </c>
      <c r="G496" s="3">
        <f>SUM(G484:G495)</f>
        <v>36.436</v>
      </c>
    </row>
    <row r="497" spans="3:7" x14ac:dyDescent="0.25">
      <c r="C497" s="2" t="s">
        <v>108</v>
      </c>
    </row>
    <row r="498" spans="3:7" x14ac:dyDescent="0.25">
      <c r="D498" s="2" t="s">
        <v>17</v>
      </c>
      <c r="E498" s="1">
        <f>3</f>
        <v>3</v>
      </c>
      <c r="F498" s="3">
        <f>Datos!C$3*'Atenuación tomas'!$E498</f>
        <v>0.36</v>
      </c>
      <c r="G498" s="3">
        <f>Datos!D$3*'Atenuación tomas'!$E498</f>
        <v>0.44999999999999996</v>
      </c>
    </row>
    <row r="499" spans="3:7" x14ac:dyDescent="0.25">
      <c r="D499" s="2" t="s">
        <v>50</v>
      </c>
      <c r="F499" s="3">
        <f>Datos!C$5</f>
        <v>0.8</v>
      </c>
      <c r="G499" s="3">
        <f>Datos!D$5</f>
        <v>0.8</v>
      </c>
    </row>
    <row r="500" spans="3:7" x14ac:dyDescent="0.25">
      <c r="D500" s="2" t="s">
        <v>51</v>
      </c>
      <c r="E500" s="1">
        <f>2.85</f>
        <v>2.85</v>
      </c>
      <c r="F500" s="3">
        <f>Datos!C$3*'Atenuación tomas'!$E500</f>
        <v>0.34199999999999997</v>
      </c>
      <c r="G500" s="3">
        <f>Datos!D$3*'Atenuación tomas'!$E500</f>
        <v>0.42749999999999999</v>
      </c>
    </row>
    <row r="501" spans="3:7" x14ac:dyDescent="0.25">
      <c r="D501" s="2" t="s">
        <v>90</v>
      </c>
      <c r="F501" s="3">
        <f>Datos!C$8</f>
        <v>3.3</v>
      </c>
      <c r="G501" s="3">
        <f>Datos!D$8</f>
        <v>3.3</v>
      </c>
    </row>
    <row r="502" spans="3:7" x14ac:dyDescent="0.25">
      <c r="D502" s="2" t="s">
        <v>51</v>
      </c>
      <c r="E502" s="1">
        <f>2.85</f>
        <v>2.85</v>
      </c>
      <c r="F502" s="3">
        <f>Datos!C$3*'Atenuación tomas'!$E502</f>
        <v>0.34199999999999997</v>
      </c>
      <c r="G502" s="3">
        <f>Datos!D$3*'Atenuación tomas'!$E502</f>
        <v>0.42749999999999999</v>
      </c>
    </row>
    <row r="503" spans="3:7" x14ac:dyDescent="0.25">
      <c r="D503" s="2" t="s">
        <v>90</v>
      </c>
      <c r="F503" s="3">
        <f>Datos!C$8</f>
        <v>3.3</v>
      </c>
      <c r="G503" s="3">
        <f>Datos!D$8</f>
        <v>3.3</v>
      </c>
    </row>
    <row r="504" spans="3:7" x14ac:dyDescent="0.25">
      <c r="D504" s="2" t="s">
        <v>51</v>
      </c>
      <c r="E504" s="1">
        <f>2.85</f>
        <v>2.85</v>
      </c>
      <c r="F504" s="3">
        <f>Datos!C$3*'Atenuación tomas'!$E504</f>
        <v>0.34199999999999997</v>
      </c>
      <c r="G504" s="3">
        <f>Datos!D$3*'Atenuación tomas'!$E504</f>
        <v>0.42749999999999999</v>
      </c>
    </row>
    <row r="505" spans="3:7" x14ac:dyDescent="0.25">
      <c r="D505" s="2" t="s">
        <v>102</v>
      </c>
      <c r="F505" s="3">
        <f>Datos!C$12</f>
        <v>13</v>
      </c>
      <c r="G505" s="3">
        <f>Datos!D$12</f>
        <v>13</v>
      </c>
    </row>
    <row r="506" spans="3:7" x14ac:dyDescent="0.25">
      <c r="D506" s="2" t="s">
        <v>65</v>
      </c>
      <c r="E506" s="1">
        <f>4.49</f>
        <v>4.49</v>
      </c>
      <c r="F506" s="3">
        <f>Datos!C$3*'Atenuación tomas'!$E506</f>
        <v>0.53880000000000006</v>
      </c>
      <c r="G506" s="3">
        <f>Datos!D$3*'Atenuación tomas'!$E506</f>
        <v>0.67349999999999999</v>
      </c>
    </row>
    <row r="507" spans="3:7" x14ac:dyDescent="0.25">
      <c r="D507" s="2" t="s">
        <v>20</v>
      </c>
      <c r="F507" s="3">
        <f>Datos!C$17</f>
        <v>9</v>
      </c>
      <c r="G507" s="3">
        <f>Datos!D$17</f>
        <v>9</v>
      </c>
    </row>
    <row r="508" spans="3:7" x14ac:dyDescent="0.25">
      <c r="D508" s="2" t="s">
        <v>72</v>
      </c>
      <c r="E508" s="1">
        <f>4.9</f>
        <v>4.9000000000000004</v>
      </c>
      <c r="F508" s="3">
        <f>Datos!C$3*'Atenuación tomas'!$E508</f>
        <v>0.58799999999999997</v>
      </c>
      <c r="G508" s="3">
        <f>Datos!D$3*'Atenuación tomas'!$E508</f>
        <v>0.73499999999999999</v>
      </c>
    </row>
    <row r="509" spans="3:7" x14ac:dyDescent="0.25">
      <c r="D509" s="2" t="s">
        <v>22</v>
      </c>
      <c r="F509" s="3">
        <f>Datos!C$21</f>
        <v>4</v>
      </c>
      <c r="G509" s="3">
        <f>Datos!D$21</f>
        <v>4</v>
      </c>
    </row>
    <row r="510" spans="3:7" x14ac:dyDescent="0.25">
      <c r="D510" s="2" t="s">
        <v>26</v>
      </c>
      <c r="F510" s="3">
        <f>SUM(F498:F509)</f>
        <v>35.912800000000004</v>
      </c>
      <c r="G510" s="3">
        <f>SUM(G498:G509)</f>
        <v>36.541000000000004</v>
      </c>
    </row>
    <row r="511" spans="3:7" x14ac:dyDescent="0.25">
      <c r="C511" s="2" t="s">
        <v>109</v>
      </c>
    </row>
    <row r="512" spans="3:7" x14ac:dyDescent="0.25">
      <c r="D512" s="2" t="s">
        <v>17</v>
      </c>
      <c r="E512" s="1">
        <f>3</f>
        <v>3</v>
      </c>
      <c r="F512" s="3">
        <f>Datos!C$3*'Atenuación tomas'!$E512</f>
        <v>0.36</v>
      </c>
      <c r="G512" s="3">
        <f>Datos!D$3*'Atenuación tomas'!$E512</f>
        <v>0.44999999999999996</v>
      </c>
    </row>
    <row r="513" spans="3:7" x14ac:dyDescent="0.25">
      <c r="D513" s="2" t="s">
        <v>50</v>
      </c>
      <c r="F513" s="3">
        <f>Datos!C$5</f>
        <v>0.8</v>
      </c>
      <c r="G513" s="3">
        <f>Datos!D$5</f>
        <v>0.8</v>
      </c>
    </row>
    <row r="514" spans="3:7" x14ac:dyDescent="0.25">
      <c r="D514" s="2" t="s">
        <v>51</v>
      </c>
      <c r="E514" s="1">
        <f>2.85</f>
        <v>2.85</v>
      </c>
      <c r="F514" s="3">
        <f>Datos!C$3*'Atenuación tomas'!$E514</f>
        <v>0.34199999999999997</v>
      </c>
      <c r="G514" s="3">
        <f>Datos!D$3*'Atenuación tomas'!$E514</f>
        <v>0.42749999999999999</v>
      </c>
    </row>
    <row r="515" spans="3:7" x14ac:dyDescent="0.25">
      <c r="D515" s="2" t="s">
        <v>90</v>
      </c>
      <c r="F515" s="3">
        <f>Datos!C$8</f>
        <v>3.3</v>
      </c>
      <c r="G515" s="3">
        <f>Datos!D$8</f>
        <v>3.3</v>
      </c>
    </row>
    <row r="516" spans="3:7" x14ac:dyDescent="0.25">
      <c r="D516" s="2" t="s">
        <v>51</v>
      </c>
      <c r="E516" s="1">
        <f>2.85</f>
        <v>2.85</v>
      </c>
      <c r="F516" s="3">
        <f>Datos!C$3*'Atenuación tomas'!$E516</f>
        <v>0.34199999999999997</v>
      </c>
      <c r="G516" s="3">
        <f>Datos!D$3*'Atenuación tomas'!$E516</f>
        <v>0.42749999999999999</v>
      </c>
    </row>
    <row r="517" spans="3:7" x14ac:dyDescent="0.25">
      <c r="D517" s="2" t="s">
        <v>90</v>
      </c>
      <c r="F517" s="3">
        <f>Datos!C$8</f>
        <v>3.3</v>
      </c>
      <c r="G517" s="3">
        <f>Datos!D$8</f>
        <v>3.3</v>
      </c>
    </row>
    <row r="518" spans="3:7" x14ac:dyDescent="0.25">
      <c r="D518" s="2" t="s">
        <v>51</v>
      </c>
      <c r="E518" s="1">
        <f>2.85</f>
        <v>2.85</v>
      </c>
      <c r="F518" s="3">
        <f>Datos!C$3*'Atenuación tomas'!$E518</f>
        <v>0.34199999999999997</v>
      </c>
      <c r="G518" s="3">
        <f>Datos!D$3*'Atenuación tomas'!$E518</f>
        <v>0.42749999999999999</v>
      </c>
    </row>
    <row r="519" spans="3:7" x14ac:dyDescent="0.25">
      <c r="D519" s="2" t="s">
        <v>102</v>
      </c>
      <c r="F519" s="3">
        <f>Datos!C$12</f>
        <v>13</v>
      </c>
      <c r="G519" s="3">
        <f>Datos!D$12</f>
        <v>13</v>
      </c>
    </row>
    <row r="520" spans="3:7" x14ac:dyDescent="0.25">
      <c r="D520" s="2" t="s">
        <v>65</v>
      </c>
      <c r="E520" s="1">
        <f>4.49</f>
        <v>4.49</v>
      </c>
      <c r="F520" s="3">
        <f>Datos!C$3*'Atenuación tomas'!$E520</f>
        <v>0.53880000000000006</v>
      </c>
      <c r="G520" s="3">
        <f>Datos!D$3*'Atenuación tomas'!$E520</f>
        <v>0.67349999999999999</v>
      </c>
    </row>
    <row r="521" spans="3:7" x14ac:dyDescent="0.25">
      <c r="D521" s="2" t="s">
        <v>20</v>
      </c>
      <c r="F521" s="3">
        <f>Datos!C$17</f>
        <v>9</v>
      </c>
      <c r="G521" s="3">
        <f>Datos!D$17</f>
        <v>9</v>
      </c>
    </row>
    <row r="522" spans="3:7" x14ac:dyDescent="0.25">
      <c r="D522" s="2" t="s">
        <v>71</v>
      </c>
      <c r="E522" s="1">
        <f>9.49</f>
        <v>9.49</v>
      </c>
      <c r="F522" s="3">
        <f>Datos!C$3*'Atenuación tomas'!$E522</f>
        <v>1.1388</v>
      </c>
      <c r="G522" s="3">
        <f>Datos!D$3*'Atenuación tomas'!$E522</f>
        <v>1.4235</v>
      </c>
    </row>
    <row r="523" spans="3:7" x14ac:dyDescent="0.25">
      <c r="D523" s="2" t="s">
        <v>22</v>
      </c>
      <c r="F523" s="3">
        <f>Datos!C$21</f>
        <v>4</v>
      </c>
      <c r="G523" s="3">
        <f>Datos!D$21</f>
        <v>4</v>
      </c>
    </row>
    <row r="524" spans="3:7" x14ac:dyDescent="0.25">
      <c r="D524" s="2" t="s">
        <v>26</v>
      </c>
      <c r="F524" s="3">
        <f>SUM(F512:F523)</f>
        <v>36.4636</v>
      </c>
      <c r="G524" s="3">
        <f>SUM(G512:G523)</f>
        <v>37.229500000000002</v>
      </c>
    </row>
    <row r="525" spans="3:7" x14ac:dyDescent="0.25">
      <c r="C525" s="2" t="s">
        <v>110</v>
      </c>
    </row>
    <row r="526" spans="3:7" x14ac:dyDescent="0.25">
      <c r="D526" s="2" t="s">
        <v>17</v>
      </c>
      <c r="E526" s="1">
        <f>3</f>
        <v>3</v>
      </c>
      <c r="F526" s="3">
        <f>Datos!C$3*'Atenuación tomas'!$E526</f>
        <v>0.36</v>
      </c>
      <c r="G526" s="3">
        <f>Datos!D$3*'Atenuación tomas'!$E526</f>
        <v>0.44999999999999996</v>
      </c>
    </row>
    <row r="527" spans="3:7" x14ac:dyDescent="0.25">
      <c r="D527" s="2" t="s">
        <v>50</v>
      </c>
      <c r="F527" s="3">
        <f>Datos!C$5</f>
        <v>0.8</v>
      </c>
      <c r="G527" s="3">
        <f>Datos!D$5</f>
        <v>0.8</v>
      </c>
    </row>
    <row r="528" spans="3:7" x14ac:dyDescent="0.25">
      <c r="D528" s="2" t="s">
        <v>51</v>
      </c>
      <c r="E528" s="1">
        <f>2.85</f>
        <v>2.85</v>
      </c>
      <c r="F528" s="3">
        <f>Datos!C$3*'Atenuación tomas'!$E528</f>
        <v>0.34199999999999997</v>
      </c>
      <c r="G528" s="3">
        <f>Datos!D$3*'Atenuación tomas'!$E528</f>
        <v>0.42749999999999999</v>
      </c>
    </row>
    <row r="529" spans="2:7" x14ac:dyDescent="0.25">
      <c r="D529" s="2" t="s">
        <v>90</v>
      </c>
      <c r="F529" s="3">
        <f>Datos!C$8</f>
        <v>3.3</v>
      </c>
      <c r="G529" s="3">
        <f>Datos!D$8</f>
        <v>3.3</v>
      </c>
    </row>
    <row r="530" spans="2:7" x14ac:dyDescent="0.25">
      <c r="D530" s="2" t="s">
        <v>51</v>
      </c>
      <c r="E530" s="1">
        <f>2.85</f>
        <v>2.85</v>
      </c>
      <c r="F530" s="3">
        <f>Datos!C$3*'Atenuación tomas'!$E530</f>
        <v>0.34199999999999997</v>
      </c>
      <c r="G530" s="3">
        <f>Datos!D$3*'Atenuación tomas'!$E530</f>
        <v>0.42749999999999999</v>
      </c>
    </row>
    <row r="531" spans="2:7" x14ac:dyDescent="0.25">
      <c r="D531" s="2" t="s">
        <v>90</v>
      </c>
      <c r="F531" s="3">
        <f>Datos!C$8</f>
        <v>3.3</v>
      </c>
      <c r="G531" s="3">
        <f>Datos!D$8</f>
        <v>3.3</v>
      </c>
    </row>
    <row r="532" spans="2:7" x14ac:dyDescent="0.25">
      <c r="D532" s="2" t="s">
        <v>51</v>
      </c>
      <c r="E532" s="1">
        <f>2.85</f>
        <v>2.85</v>
      </c>
      <c r="F532" s="3">
        <f>Datos!C$3*'Atenuación tomas'!$E532</f>
        <v>0.34199999999999997</v>
      </c>
      <c r="G532" s="3">
        <f>Datos!D$3*'Atenuación tomas'!$E532</f>
        <v>0.42749999999999999</v>
      </c>
    </row>
    <row r="533" spans="2:7" x14ac:dyDescent="0.25">
      <c r="D533" s="2" t="s">
        <v>102</v>
      </c>
      <c r="F533" s="3">
        <f>Datos!C$12</f>
        <v>13</v>
      </c>
      <c r="G533" s="3">
        <f>Datos!D$12</f>
        <v>13</v>
      </c>
    </row>
    <row r="534" spans="2:7" x14ac:dyDescent="0.25">
      <c r="D534" s="2" t="s">
        <v>65</v>
      </c>
      <c r="E534" s="1">
        <f>4.49</f>
        <v>4.49</v>
      </c>
      <c r="F534" s="3">
        <f>Datos!C$3*'Atenuación tomas'!$E534</f>
        <v>0.53880000000000006</v>
      </c>
      <c r="G534" s="3">
        <f>Datos!D$3*'Atenuación tomas'!$E534</f>
        <v>0.67349999999999999</v>
      </c>
    </row>
    <row r="535" spans="2:7" x14ac:dyDescent="0.25">
      <c r="D535" s="2" t="s">
        <v>20</v>
      </c>
      <c r="F535" s="3">
        <f>Datos!C$17</f>
        <v>9</v>
      </c>
      <c r="G535" s="3">
        <f>Datos!D$17</f>
        <v>9</v>
      </c>
    </row>
    <row r="536" spans="2:7" x14ac:dyDescent="0.25">
      <c r="D536" s="2" t="s">
        <v>70</v>
      </c>
      <c r="E536" s="1">
        <f>9.7</f>
        <v>9.6999999999999993</v>
      </c>
      <c r="F536" s="3">
        <f>Datos!C$3*'Atenuación tomas'!$E536</f>
        <v>1.1639999999999999</v>
      </c>
      <c r="G536" s="3">
        <f>Datos!D$3*'Atenuación tomas'!$E536</f>
        <v>1.4549999999999998</v>
      </c>
    </row>
    <row r="537" spans="2:7" x14ac:dyDescent="0.25">
      <c r="D537" s="2" t="s">
        <v>22</v>
      </c>
      <c r="F537" s="3">
        <f>Datos!C$21</f>
        <v>4</v>
      </c>
      <c r="G537" s="3">
        <f>Datos!D$21</f>
        <v>4</v>
      </c>
    </row>
    <row r="538" spans="2:7" x14ac:dyDescent="0.25">
      <c r="D538" s="2" t="s">
        <v>26</v>
      </c>
      <c r="F538" s="3">
        <f>SUM(F526:F537)</f>
        <v>36.488799999999998</v>
      </c>
      <c r="G538" s="3">
        <f>SUM(G526:G537)</f>
        <v>37.261000000000003</v>
      </c>
    </row>
    <row r="539" spans="2:7" x14ac:dyDescent="0.25">
      <c r="B539" s="2" t="s">
        <v>38</v>
      </c>
    </row>
    <row r="540" spans="2:7" x14ac:dyDescent="0.25">
      <c r="C540" s="2" t="s">
        <v>111</v>
      </c>
    </row>
    <row r="541" spans="2:7" x14ac:dyDescent="0.25">
      <c r="D541" s="2" t="s">
        <v>17</v>
      </c>
      <c r="E541" s="1">
        <f>3</f>
        <v>3</v>
      </c>
      <c r="F541" s="3">
        <f>Datos!C$3*'Atenuación tomas'!$E541</f>
        <v>0.36</v>
      </c>
      <c r="G541" s="3">
        <f>Datos!D$3*'Atenuación tomas'!$E541</f>
        <v>0.44999999999999996</v>
      </c>
    </row>
    <row r="542" spans="2:7" x14ac:dyDescent="0.25">
      <c r="D542" s="2" t="s">
        <v>50</v>
      </c>
      <c r="F542" s="3">
        <f>Datos!C$5</f>
        <v>0.8</v>
      </c>
      <c r="G542" s="3">
        <f>Datos!D$5</f>
        <v>0.8</v>
      </c>
    </row>
    <row r="543" spans="2:7" x14ac:dyDescent="0.25">
      <c r="D543" s="2" t="s">
        <v>51</v>
      </c>
      <c r="E543" s="1">
        <f>2.85</f>
        <v>2.85</v>
      </c>
      <c r="F543" s="3">
        <f>Datos!C$3*'Atenuación tomas'!$E543</f>
        <v>0.34199999999999997</v>
      </c>
      <c r="G543" s="3">
        <f>Datos!D$3*'Atenuación tomas'!$E543</f>
        <v>0.42749999999999999</v>
      </c>
    </row>
    <row r="544" spans="2:7" x14ac:dyDescent="0.25">
      <c r="D544" s="2" t="s">
        <v>90</v>
      </c>
      <c r="F544" s="3">
        <f>Datos!C$8</f>
        <v>3.3</v>
      </c>
      <c r="G544" s="3">
        <f>Datos!D$8</f>
        <v>3.3</v>
      </c>
    </row>
    <row r="545" spans="3:7" x14ac:dyDescent="0.25">
      <c r="D545" s="2" t="s">
        <v>51</v>
      </c>
      <c r="E545" s="1">
        <f>2.85</f>
        <v>2.85</v>
      </c>
      <c r="F545" s="3">
        <f>Datos!C$3*'Atenuación tomas'!$E545</f>
        <v>0.34199999999999997</v>
      </c>
      <c r="G545" s="3">
        <f>Datos!D$3*'Atenuación tomas'!$E545</f>
        <v>0.42749999999999999</v>
      </c>
    </row>
    <row r="546" spans="3:7" x14ac:dyDescent="0.25">
      <c r="D546" s="2" t="s">
        <v>90</v>
      </c>
      <c r="F546" s="3">
        <f>Datos!C$8</f>
        <v>3.3</v>
      </c>
      <c r="G546" s="3">
        <f>Datos!D$8</f>
        <v>3.3</v>
      </c>
    </row>
    <row r="547" spans="3:7" x14ac:dyDescent="0.25">
      <c r="D547" s="2" t="s">
        <v>51</v>
      </c>
      <c r="E547" s="1">
        <f>2.85</f>
        <v>2.85</v>
      </c>
      <c r="F547" s="3">
        <f>Datos!C$3*'Atenuación tomas'!$E547</f>
        <v>0.34199999999999997</v>
      </c>
      <c r="G547" s="3">
        <f>Datos!D$3*'Atenuación tomas'!$E547</f>
        <v>0.42749999999999999</v>
      </c>
    </row>
    <row r="548" spans="3:7" x14ac:dyDescent="0.25">
      <c r="D548" s="2" t="s">
        <v>102</v>
      </c>
      <c r="F548" s="3">
        <f>Datos!C$12</f>
        <v>13</v>
      </c>
      <c r="G548" s="3">
        <f>Datos!D$12</f>
        <v>13</v>
      </c>
    </row>
    <row r="549" spans="3:7" x14ac:dyDescent="0.25">
      <c r="D549" s="2" t="s">
        <v>74</v>
      </c>
      <c r="E549" s="1">
        <f>4.84</f>
        <v>4.84</v>
      </c>
      <c r="F549" s="3">
        <f>Datos!C$3*'Atenuación tomas'!$E549</f>
        <v>0.58079999999999998</v>
      </c>
      <c r="G549" s="3">
        <f>Datos!D$3*'Atenuación tomas'!$E549</f>
        <v>0.72599999999999998</v>
      </c>
    </row>
    <row r="550" spans="3:7" x14ac:dyDescent="0.25">
      <c r="D550" s="2" t="s">
        <v>55</v>
      </c>
      <c r="F550" s="3">
        <f>Datos!C$19</f>
        <v>13</v>
      </c>
      <c r="G550" s="3">
        <f>Datos!D$19</f>
        <v>13</v>
      </c>
    </row>
    <row r="551" spans="3:7" x14ac:dyDescent="0.25">
      <c r="D551" s="2" t="s">
        <v>75</v>
      </c>
      <c r="E551" s="1">
        <f>9.03</f>
        <v>9.0299999999999994</v>
      </c>
      <c r="F551" s="3">
        <f>Datos!C$3*'Atenuación tomas'!$E551</f>
        <v>1.0835999999999999</v>
      </c>
      <c r="G551" s="3">
        <f>Datos!D$3*'Atenuación tomas'!$E551</f>
        <v>1.3544999999999998</v>
      </c>
    </row>
    <row r="552" spans="3:7" x14ac:dyDescent="0.25">
      <c r="D552" s="2" t="s">
        <v>22</v>
      </c>
      <c r="F552" s="3">
        <f>Datos!C$21</f>
        <v>4</v>
      </c>
      <c r="G552" s="3">
        <f>Datos!D$21</f>
        <v>4</v>
      </c>
    </row>
    <row r="553" spans="3:7" x14ac:dyDescent="0.25">
      <c r="D553" s="2" t="s">
        <v>26</v>
      </c>
      <c r="F553" s="3">
        <f>SUM(F541:F552)</f>
        <v>40.450399999999995</v>
      </c>
      <c r="G553" s="3">
        <f>SUM(G541:G552)</f>
        <v>41.213000000000001</v>
      </c>
    </row>
    <row r="554" spans="3:7" x14ac:dyDescent="0.25">
      <c r="C554" s="2" t="s">
        <v>112</v>
      </c>
    </row>
    <row r="555" spans="3:7" x14ac:dyDescent="0.25">
      <c r="D555" s="2" t="s">
        <v>17</v>
      </c>
      <c r="E555" s="1">
        <f>3</f>
        <v>3</v>
      </c>
      <c r="F555" s="3">
        <f>Datos!C$3*'Atenuación tomas'!$E555</f>
        <v>0.36</v>
      </c>
      <c r="G555" s="3">
        <f>Datos!D$3*'Atenuación tomas'!$E555</f>
        <v>0.44999999999999996</v>
      </c>
    </row>
    <row r="556" spans="3:7" x14ac:dyDescent="0.25">
      <c r="D556" s="2" t="s">
        <v>50</v>
      </c>
      <c r="F556" s="3">
        <f>Datos!C$5</f>
        <v>0.8</v>
      </c>
      <c r="G556" s="3">
        <f>Datos!D$5</f>
        <v>0.8</v>
      </c>
    </row>
    <row r="557" spans="3:7" x14ac:dyDescent="0.25">
      <c r="D557" s="2" t="s">
        <v>51</v>
      </c>
      <c r="E557" s="1">
        <f>2.85</f>
        <v>2.85</v>
      </c>
      <c r="F557" s="3">
        <f>Datos!C$3*'Atenuación tomas'!$E557</f>
        <v>0.34199999999999997</v>
      </c>
      <c r="G557" s="3">
        <f>Datos!D$3*'Atenuación tomas'!$E557</f>
        <v>0.42749999999999999</v>
      </c>
    </row>
    <row r="558" spans="3:7" x14ac:dyDescent="0.25">
      <c r="D558" s="2" t="s">
        <v>90</v>
      </c>
      <c r="F558" s="3">
        <f>Datos!C$8</f>
        <v>3.3</v>
      </c>
      <c r="G558" s="3">
        <f>Datos!D$8</f>
        <v>3.3</v>
      </c>
    </row>
    <row r="559" spans="3:7" x14ac:dyDescent="0.25">
      <c r="D559" s="2" t="s">
        <v>51</v>
      </c>
      <c r="E559" s="1">
        <f>2.85</f>
        <v>2.85</v>
      </c>
      <c r="F559" s="3">
        <f>Datos!C$3*'Atenuación tomas'!$E559</f>
        <v>0.34199999999999997</v>
      </c>
      <c r="G559" s="3">
        <f>Datos!D$3*'Atenuación tomas'!$E559</f>
        <v>0.42749999999999999</v>
      </c>
    </row>
    <row r="560" spans="3:7" x14ac:dyDescent="0.25">
      <c r="D560" s="2" t="s">
        <v>90</v>
      </c>
      <c r="F560" s="3">
        <f>Datos!C$8</f>
        <v>3.3</v>
      </c>
      <c r="G560" s="3">
        <f>Datos!D$8</f>
        <v>3.3</v>
      </c>
    </row>
    <row r="561" spans="3:7" x14ac:dyDescent="0.25">
      <c r="D561" s="2" t="s">
        <v>51</v>
      </c>
      <c r="E561" s="1">
        <f>2.85</f>
        <v>2.85</v>
      </c>
      <c r="F561" s="3">
        <f>Datos!C$3*'Atenuación tomas'!$E561</f>
        <v>0.34199999999999997</v>
      </c>
      <c r="G561" s="3">
        <f>Datos!D$3*'Atenuación tomas'!$E561</f>
        <v>0.42749999999999999</v>
      </c>
    </row>
    <row r="562" spans="3:7" x14ac:dyDescent="0.25">
      <c r="D562" s="2" t="s">
        <v>102</v>
      </c>
      <c r="F562" s="3">
        <f>Datos!C$12</f>
        <v>13</v>
      </c>
      <c r="G562" s="3">
        <f>Datos!D$12</f>
        <v>13</v>
      </c>
    </row>
    <row r="563" spans="3:7" x14ac:dyDescent="0.25">
      <c r="D563" s="2" t="s">
        <v>74</v>
      </c>
      <c r="E563" s="1">
        <f>4.84</f>
        <v>4.84</v>
      </c>
      <c r="F563" s="3">
        <f>Datos!C$3*'Atenuación tomas'!$E563</f>
        <v>0.58079999999999998</v>
      </c>
      <c r="G563" s="3">
        <f>Datos!D$3*'Atenuación tomas'!$E563</f>
        <v>0.72599999999999998</v>
      </c>
    </row>
    <row r="564" spans="3:7" x14ac:dyDescent="0.25">
      <c r="D564" s="2" t="s">
        <v>55</v>
      </c>
      <c r="F564" s="3">
        <f>Datos!C$19</f>
        <v>13</v>
      </c>
      <c r="G564" s="3">
        <f>Datos!D$19</f>
        <v>13</v>
      </c>
    </row>
    <row r="565" spans="3:7" x14ac:dyDescent="0.25">
      <c r="D565" s="2" t="s">
        <v>80</v>
      </c>
      <c r="E565" s="1">
        <f>4.31</f>
        <v>4.3099999999999996</v>
      </c>
      <c r="F565" s="3">
        <f>Datos!C$3*'Atenuación tomas'!$E565</f>
        <v>0.51719999999999988</v>
      </c>
      <c r="G565" s="3">
        <f>Datos!D$3*'Atenuación tomas'!$E565</f>
        <v>0.64649999999999996</v>
      </c>
    </row>
    <row r="566" spans="3:7" x14ac:dyDescent="0.25">
      <c r="D566" s="2" t="s">
        <v>22</v>
      </c>
      <c r="F566" s="3">
        <f>Datos!C$21</f>
        <v>4</v>
      </c>
      <c r="G566" s="3">
        <f>Datos!D$21</f>
        <v>4</v>
      </c>
    </row>
    <row r="567" spans="3:7" x14ac:dyDescent="0.25">
      <c r="D567" s="2" t="s">
        <v>26</v>
      </c>
      <c r="F567" s="3">
        <f>SUM(F555:F566)</f>
        <v>39.884</v>
      </c>
      <c r="G567" s="3">
        <f>SUM(G555:G566)</f>
        <v>40.505000000000003</v>
      </c>
    </row>
    <row r="568" spans="3:7" x14ac:dyDescent="0.25">
      <c r="C568" s="2" t="s">
        <v>113</v>
      </c>
    </row>
    <row r="569" spans="3:7" x14ac:dyDescent="0.25">
      <c r="D569" s="2" t="s">
        <v>17</v>
      </c>
      <c r="E569" s="1">
        <f>3</f>
        <v>3</v>
      </c>
      <c r="F569" s="3">
        <f>Datos!C$3*'Atenuación tomas'!$E569</f>
        <v>0.36</v>
      </c>
      <c r="G569" s="3">
        <f>Datos!D$3*'Atenuación tomas'!$E569</f>
        <v>0.44999999999999996</v>
      </c>
    </row>
    <row r="570" spans="3:7" x14ac:dyDescent="0.25">
      <c r="D570" s="2" t="s">
        <v>50</v>
      </c>
      <c r="F570" s="3">
        <f>Datos!C$5</f>
        <v>0.8</v>
      </c>
      <c r="G570" s="3">
        <f>Datos!D$5</f>
        <v>0.8</v>
      </c>
    </row>
    <row r="571" spans="3:7" x14ac:dyDescent="0.25">
      <c r="D571" s="2" t="s">
        <v>51</v>
      </c>
      <c r="E571" s="1">
        <f>2.85</f>
        <v>2.85</v>
      </c>
      <c r="F571" s="3">
        <f>Datos!C$3*'Atenuación tomas'!$E571</f>
        <v>0.34199999999999997</v>
      </c>
      <c r="G571" s="3">
        <f>Datos!D$3*'Atenuación tomas'!$E571</f>
        <v>0.42749999999999999</v>
      </c>
    </row>
    <row r="572" spans="3:7" x14ac:dyDescent="0.25">
      <c r="D572" s="2" t="s">
        <v>90</v>
      </c>
      <c r="F572" s="3">
        <f>Datos!C$8</f>
        <v>3.3</v>
      </c>
      <c r="G572" s="3">
        <f>Datos!D$8</f>
        <v>3.3</v>
      </c>
    </row>
    <row r="573" spans="3:7" x14ac:dyDescent="0.25">
      <c r="D573" s="2" t="s">
        <v>51</v>
      </c>
      <c r="E573" s="1">
        <f>2.85</f>
        <v>2.85</v>
      </c>
      <c r="F573" s="3">
        <f>Datos!C$3*'Atenuación tomas'!$E573</f>
        <v>0.34199999999999997</v>
      </c>
      <c r="G573" s="3">
        <f>Datos!D$3*'Atenuación tomas'!$E573</f>
        <v>0.42749999999999999</v>
      </c>
    </row>
    <row r="574" spans="3:7" x14ac:dyDescent="0.25">
      <c r="D574" s="2" t="s">
        <v>90</v>
      </c>
      <c r="F574" s="3">
        <f>Datos!C$8</f>
        <v>3.3</v>
      </c>
      <c r="G574" s="3">
        <f>Datos!D$8</f>
        <v>3.3</v>
      </c>
    </row>
    <row r="575" spans="3:7" x14ac:dyDescent="0.25">
      <c r="D575" s="2" t="s">
        <v>51</v>
      </c>
      <c r="E575" s="1">
        <f>2.85</f>
        <v>2.85</v>
      </c>
      <c r="F575" s="3">
        <f>Datos!C$3*'Atenuación tomas'!$E575</f>
        <v>0.34199999999999997</v>
      </c>
      <c r="G575" s="3">
        <f>Datos!D$3*'Atenuación tomas'!$E575</f>
        <v>0.42749999999999999</v>
      </c>
    </row>
    <row r="576" spans="3:7" x14ac:dyDescent="0.25">
      <c r="D576" s="2" t="s">
        <v>102</v>
      </c>
      <c r="F576" s="3">
        <f>Datos!C$12</f>
        <v>13</v>
      </c>
      <c r="G576" s="3">
        <f>Datos!D$12</f>
        <v>13</v>
      </c>
    </row>
    <row r="577" spans="3:7" x14ac:dyDescent="0.25">
      <c r="D577" s="2" t="s">
        <v>74</v>
      </c>
      <c r="E577" s="1">
        <f>4.84</f>
        <v>4.84</v>
      </c>
      <c r="F577" s="3">
        <f>Datos!C$3*'Atenuación tomas'!$E577</f>
        <v>0.58079999999999998</v>
      </c>
      <c r="G577" s="3">
        <f>Datos!D$3*'Atenuación tomas'!$E577</f>
        <v>0.72599999999999998</v>
      </c>
    </row>
    <row r="578" spans="3:7" x14ac:dyDescent="0.25">
      <c r="D578" s="2" t="s">
        <v>55</v>
      </c>
      <c r="F578" s="3">
        <f>Datos!C$19</f>
        <v>13</v>
      </c>
      <c r="G578" s="3">
        <f>Datos!D$19</f>
        <v>13</v>
      </c>
    </row>
    <row r="579" spans="3:7" x14ac:dyDescent="0.25">
      <c r="D579" s="2" t="s">
        <v>81</v>
      </c>
      <c r="E579" s="1">
        <f>7.35</f>
        <v>7.35</v>
      </c>
      <c r="F579" s="3">
        <f>Datos!C$3*'Atenuación tomas'!$E579</f>
        <v>0.8819999999999999</v>
      </c>
      <c r="G579" s="3">
        <f>Datos!D$3*'Atenuación tomas'!$E579</f>
        <v>1.1024999999999998</v>
      </c>
    </row>
    <row r="580" spans="3:7" x14ac:dyDescent="0.25">
      <c r="D580" s="2" t="s">
        <v>22</v>
      </c>
      <c r="F580" s="3">
        <f>Datos!C$21</f>
        <v>4</v>
      </c>
      <c r="G580" s="3">
        <f>Datos!D$21</f>
        <v>4</v>
      </c>
    </row>
    <row r="581" spans="3:7" x14ac:dyDescent="0.25">
      <c r="D581" s="2" t="s">
        <v>26</v>
      </c>
      <c r="F581" s="3">
        <f>SUM(F569:F580)</f>
        <v>40.248799999999996</v>
      </c>
      <c r="G581" s="3">
        <f>SUM(G569:G580)</f>
        <v>40.960999999999999</v>
      </c>
    </row>
    <row r="582" spans="3:7" x14ac:dyDescent="0.25">
      <c r="C582" s="2" t="s">
        <v>114</v>
      </c>
    </row>
    <row r="583" spans="3:7" x14ac:dyDescent="0.25">
      <c r="D583" s="2" t="s">
        <v>17</v>
      </c>
      <c r="E583" s="1">
        <f>3</f>
        <v>3</v>
      </c>
      <c r="F583" s="3">
        <f>Datos!C$3*'Atenuación tomas'!$E583</f>
        <v>0.36</v>
      </c>
      <c r="G583" s="3">
        <f>Datos!D$3*'Atenuación tomas'!$E583</f>
        <v>0.44999999999999996</v>
      </c>
    </row>
    <row r="584" spans="3:7" x14ac:dyDescent="0.25">
      <c r="D584" s="2" t="s">
        <v>50</v>
      </c>
      <c r="F584" s="3">
        <f>Datos!C$5</f>
        <v>0.8</v>
      </c>
      <c r="G584" s="3">
        <f>Datos!D$5</f>
        <v>0.8</v>
      </c>
    </row>
    <row r="585" spans="3:7" x14ac:dyDescent="0.25">
      <c r="D585" s="2" t="s">
        <v>51</v>
      </c>
      <c r="E585" s="1">
        <f>2.85</f>
        <v>2.85</v>
      </c>
      <c r="F585" s="3">
        <f>Datos!C$3*'Atenuación tomas'!$E585</f>
        <v>0.34199999999999997</v>
      </c>
      <c r="G585" s="3">
        <f>Datos!D$3*'Atenuación tomas'!$E585</f>
        <v>0.42749999999999999</v>
      </c>
    </row>
    <row r="586" spans="3:7" x14ac:dyDescent="0.25">
      <c r="D586" s="2" t="s">
        <v>90</v>
      </c>
      <c r="F586" s="3">
        <f>Datos!C$8</f>
        <v>3.3</v>
      </c>
      <c r="G586" s="3">
        <f>Datos!D$8</f>
        <v>3.3</v>
      </c>
    </row>
    <row r="587" spans="3:7" x14ac:dyDescent="0.25">
      <c r="D587" s="2" t="s">
        <v>51</v>
      </c>
      <c r="E587" s="1">
        <f>2.85</f>
        <v>2.85</v>
      </c>
      <c r="F587" s="3">
        <f>Datos!C$3*'Atenuación tomas'!$E587</f>
        <v>0.34199999999999997</v>
      </c>
      <c r="G587" s="3">
        <f>Datos!D$3*'Atenuación tomas'!$E587</f>
        <v>0.42749999999999999</v>
      </c>
    </row>
    <row r="588" spans="3:7" x14ac:dyDescent="0.25">
      <c r="D588" s="2" t="s">
        <v>90</v>
      </c>
      <c r="F588" s="3">
        <f>Datos!C$8</f>
        <v>3.3</v>
      </c>
      <c r="G588" s="3">
        <f>Datos!D$8</f>
        <v>3.3</v>
      </c>
    </row>
    <row r="589" spans="3:7" x14ac:dyDescent="0.25">
      <c r="D589" s="2" t="s">
        <v>51</v>
      </c>
      <c r="E589" s="1">
        <f>2.85</f>
        <v>2.85</v>
      </c>
      <c r="F589" s="3">
        <f>Datos!C$3*'Atenuación tomas'!$E589</f>
        <v>0.34199999999999997</v>
      </c>
      <c r="G589" s="3">
        <f>Datos!D$3*'Atenuación tomas'!$E589</f>
        <v>0.42749999999999999</v>
      </c>
    </row>
    <row r="590" spans="3:7" x14ac:dyDescent="0.25">
      <c r="D590" s="2" t="s">
        <v>102</v>
      </c>
      <c r="F590" s="3">
        <f>Datos!C$12</f>
        <v>13</v>
      </c>
      <c r="G590" s="3">
        <f>Datos!D$12</f>
        <v>13</v>
      </c>
    </row>
    <row r="591" spans="3:7" x14ac:dyDescent="0.25">
      <c r="D591" s="2" t="s">
        <v>74</v>
      </c>
      <c r="E591" s="1">
        <f>4.84</f>
        <v>4.84</v>
      </c>
      <c r="F591" s="3">
        <f>Datos!C$3*'Atenuación tomas'!$E591</f>
        <v>0.58079999999999998</v>
      </c>
      <c r="G591" s="3">
        <f>Datos!D$3*'Atenuación tomas'!$E591</f>
        <v>0.72599999999999998</v>
      </c>
    </row>
    <row r="592" spans="3:7" x14ac:dyDescent="0.25">
      <c r="D592" s="2" t="s">
        <v>55</v>
      </c>
      <c r="F592" s="3">
        <f>Datos!C$19</f>
        <v>13</v>
      </c>
      <c r="G592" s="3">
        <f>Datos!D$19</f>
        <v>13</v>
      </c>
    </row>
    <row r="593" spans="3:7" x14ac:dyDescent="0.25">
      <c r="D593" s="2" t="s">
        <v>82</v>
      </c>
      <c r="E593" s="1">
        <f>8.51</f>
        <v>8.51</v>
      </c>
      <c r="F593" s="3">
        <f>Datos!C$3*'Atenuación tomas'!$E593</f>
        <v>1.0211999999999999</v>
      </c>
      <c r="G593" s="3">
        <f>Datos!D$3*'Atenuación tomas'!$E593</f>
        <v>1.2765</v>
      </c>
    </row>
    <row r="594" spans="3:7" x14ac:dyDescent="0.25">
      <c r="D594" s="2" t="s">
        <v>22</v>
      </c>
      <c r="F594" s="3">
        <f>Datos!C$21</f>
        <v>4</v>
      </c>
      <c r="G594" s="3">
        <f>Datos!D$21</f>
        <v>4</v>
      </c>
    </row>
    <row r="595" spans="3:7" x14ac:dyDescent="0.25">
      <c r="D595" s="2" t="s">
        <v>26</v>
      </c>
      <c r="F595" s="3">
        <f>SUM(F583:F594)</f>
        <v>40.387999999999998</v>
      </c>
      <c r="G595" s="3">
        <f>SUM(G583:G594)</f>
        <v>41.134999999999998</v>
      </c>
    </row>
    <row r="596" spans="3:7" x14ac:dyDescent="0.25">
      <c r="C596" s="2" t="s">
        <v>115</v>
      </c>
    </row>
    <row r="597" spans="3:7" x14ac:dyDescent="0.25">
      <c r="D597" s="2" t="s">
        <v>17</v>
      </c>
      <c r="E597" s="1">
        <f>3</f>
        <v>3</v>
      </c>
      <c r="F597" s="3">
        <f>Datos!C$3*'Atenuación tomas'!$E597</f>
        <v>0.36</v>
      </c>
      <c r="G597" s="3">
        <f>Datos!D$3*'Atenuación tomas'!$E597</f>
        <v>0.44999999999999996</v>
      </c>
    </row>
    <row r="598" spans="3:7" x14ac:dyDescent="0.25">
      <c r="D598" s="2" t="s">
        <v>50</v>
      </c>
      <c r="F598" s="3">
        <f>Datos!C$5</f>
        <v>0.8</v>
      </c>
      <c r="G598" s="3">
        <f>Datos!D$5</f>
        <v>0.8</v>
      </c>
    </row>
    <row r="599" spans="3:7" x14ac:dyDescent="0.25">
      <c r="D599" s="2" t="s">
        <v>51</v>
      </c>
      <c r="E599" s="1">
        <f>2.85</f>
        <v>2.85</v>
      </c>
      <c r="F599" s="3">
        <f>Datos!C$3*'Atenuación tomas'!$E599</f>
        <v>0.34199999999999997</v>
      </c>
      <c r="G599" s="3">
        <f>Datos!D$3*'Atenuación tomas'!$E599</f>
        <v>0.42749999999999999</v>
      </c>
    </row>
    <row r="600" spans="3:7" x14ac:dyDescent="0.25">
      <c r="D600" s="2" t="s">
        <v>90</v>
      </c>
      <c r="F600" s="3">
        <f>Datos!C$8</f>
        <v>3.3</v>
      </c>
      <c r="G600" s="3">
        <f>Datos!D$8</f>
        <v>3.3</v>
      </c>
    </row>
    <row r="601" spans="3:7" x14ac:dyDescent="0.25">
      <c r="D601" s="2" t="s">
        <v>51</v>
      </c>
      <c r="E601" s="1">
        <f>2.85</f>
        <v>2.85</v>
      </c>
      <c r="F601" s="3">
        <f>Datos!C$3*'Atenuación tomas'!$E601</f>
        <v>0.34199999999999997</v>
      </c>
      <c r="G601" s="3">
        <f>Datos!D$3*'Atenuación tomas'!$E601</f>
        <v>0.42749999999999999</v>
      </c>
    </row>
    <row r="602" spans="3:7" x14ac:dyDescent="0.25">
      <c r="D602" s="2" t="s">
        <v>90</v>
      </c>
      <c r="F602" s="3">
        <f>Datos!C$8</f>
        <v>3.3</v>
      </c>
      <c r="G602" s="3">
        <f>Datos!D$8</f>
        <v>3.3</v>
      </c>
    </row>
    <row r="603" spans="3:7" x14ac:dyDescent="0.25">
      <c r="D603" s="2" t="s">
        <v>51</v>
      </c>
      <c r="E603" s="1">
        <f>2.85</f>
        <v>2.85</v>
      </c>
      <c r="F603" s="3">
        <f>Datos!C$3*'Atenuación tomas'!$E603</f>
        <v>0.34199999999999997</v>
      </c>
      <c r="G603" s="3">
        <f>Datos!D$3*'Atenuación tomas'!$E603</f>
        <v>0.42749999999999999</v>
      </c>
    </row>
    <row r="604" spans="3:7" x14ac:dyDescent="0.25">
      <c r="D604" s="2" t="s">
        <v>102</v>
      </c>
      <c r="F604" s="3">
        <f>Datos!C$12</f>
        <v>13</v>
      </c>
      <c r="G604" s="3">
        <f>Datos!D$12</f>
        <v>13</v>
      </c>
    </row>
    <row r="605" spans="3:7" x14ac:dyDescent="0.25">
      <c r="D605" s="2" t="s">
        <v>74</v>
      </c>
      <c r="E605" s="1">
        <f>4.84</f>
        <v>4.84</v>
      </c>
      <c r="F605" s="3">
        <f>Datos!C$3*'Atenuación tomas'!$E605</f>
        <v>0.58079999999999998</v>
      </c>
      <c r="G605" s="3">
        <f>Datos!D$3*'Atenuación tomas'!$E605</f>
        <v>0.72599999999999998</v>
      </c>
    </row>
    <row r="606" spans="3:7" x14ac:dyDescent="0.25">
      <c r="D606" s="2" t="s">
        <v>55</v>
      </c>
      <c r="F606" s="3">
        <f>Datos!C$19</f>
        <v>13</v>
      </c>
      <c r="G606" s="3">
        <f>Datos!D$19</f>
        <v>13</v>
      </c>
    </row>
    <row r="607" spans="3:7" x14ac:dyDescent="0.25">
      <c r="D607" s="2" t="s">
        <v>83</v>
      </c>
      <c r="E607" s="1">
        <f>10.12</f>
        <v>10.119999999999999</v>
      </c>
      <c r="F607" s="3">
        <f>Datos!C$3*'Atenuación tomas'!$E607</f>
        <v>1.2143999999999999</v>
      </c>
      <c r="G607" s="3">
        <f>Datos!D$3*'Atenuación tomas'!$E607</f>
        <v>1.5179999999999998</v>
      </c>
    </row>
    <row r="608" spans="3:7" x14ac:dyDescent="0.25">
      <c r="D608" s="2" t="s">
        <v>22</v>
      </c>
      <c r="F608" s="3">
        <f>Datos!C$21</f>
        <v>4</v>
      </c>
      <c r="G608" s="3">
        <f>Datos!D$21</f>
        <v>4</v>
      </c>
    </row>
    <row r="609" spans="4:7" x14ac:dyDescent="0.25">
      <c r="D609" s="2" t="s">
        <v>26</v>
      </c>
      <c r="F609" s="3">
        <f>SUM(F597:F608)</f>
        <v>40.581199999999995</v>
      </c>
      <c r="G609" s="3">
        <f>SUM(G597:G608)</f>
        <v>41.3765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F15A-DE61-413E-9307-9F8E7600E4CA}">
  <dimension ref="A1:G609"/>
  <sheetViews>
    <sheetView topLeftCell="A106" workbookViewId="0">
      <selection activeCell="F251" sqref="F251"/>
    </sheetView>
    <sheetView tabSelected="1" topLeftCell="A78" workbookViewId="1">
      <selection activeCell="A97" activeCellId="3" sqref="A127:XFD134 A117:XFD124 A107:XFD114 A97:XFD104"/>
    </sheetView>
  </sheetViews>
  <sheetFormatPr baseColWidth="10" defaultRowHeight="15" x14ac:dyDescent="0.25"/>
  <cols>
    <col min="1" max="2" width="11.42578125" style="2"/>
    <col min="3" max="3" width="13.85546875" style="2" bestFit="1" customWidth="1"/>
    <col min="4" max="4" width="49" style="2" bestFit="1" customWidth="1"/>
    <col min="5" max="5" width="17.5703125" style="1" hidden="1" customWidth="1"/>
    <col min="6" max="7" width="11.42578125" style="1"/>
  </cols>
  <sheetData>
    <row r="1" spans="1:7" x14ac:dyDescent="0.25">
      <c r="E1" s="1" t="s">
        <v>15</v>
      </c>
      <c r="F1" s="1" t="s">
        <v>4</v>
      </c>
      <c r="G1" s="1" t="s">
        <v>5</v>
      </c>
    </row>
    <row r="2" spans="1:7" x14ac:dyDescent="0.25">
      <c r="A2" s="2" t="s">
        <v>13</v>
      </c>
    </row>
    <row r="3" spans="1:7" x14ac:dyDescent="0.25">
      <c r="B3" s="2" t="s">
        <v>14</v>
      </c>
    </row>
    <row r="4" spans="1:7" x14ac:dyDescent="0.25">
      <c r="C4" s="2" t="s">
        <v>16</v>
      </c>
    </row>
    <row r="5" spans="1:7" hidden="1" x14ac:dyDescent="0.25">
      <c r="D5" s="2" t="s">
        <v>17</v>
      </c>
      <c r="E5" s="1">
        <f>3</f>
        <v>3</v>
      </c>
      <c r="F5" s="3">
        <f>Datos!C$3*'Resumen Atenuación tomas'!$E5</f>
        <v>0.36</v>
      </c>
      <c r="G5" s="3">
        <f>Datos!D$3*'Resumen Atenuación tomas'!$E5</f>
        <v>0.44999999999999996</v>
      </c>
    </row>
    <row r="6" spans="1:7" hidden="1" x14ac:dyDescent="0.25">
      <c r="D6" s="2" t="s">
        <v>18</v>
      </c>
      <c r="F6" s="3">
        <f>Datos!C$6</f>
        <v>21</v>
      </c>
      <c r="G6" s="3">
        <f>Datos!D$6</f>
        <v>21</v>
      </c>
    </row>
    <row r="7" spans="1:7" hidden="1" x14ac:dyDescent="0.25">
      <c r="D7" s="2" t="s">
        <v>19</v>
      </c>
      <c r="E7" s="1">
        <f>1.17</f>
        <v>1.17</v>
      </c>
      <c r="F7" s="3">
        <f>Datos!C$3*'Resumen Atenuación tomas'!$E7</f>
        <v>0.1404</v>
      </c>
      <c r="G7" s="3">
        <f>Datos!D$3*'Resumen Atenuación tomas'!$E7</f>
        <v>0.17549999999999999</v>
      </c>
    </row>
    <row r="8" spans="1:7" hidden="1" x14ac:dyDescent="0.25">
      <c r="D8" s="2" t="s">
        <v>20</v>
      </c>
      <c r="F8" s="3">
        <f>Datos!C$17</f>
        <v>9</v>
      </c>
      <c r="G8" s="3">
        <f>Datos!D$17</f>
        <v>9</v>
      </c>
    </row>
    <row r="9" spans="1:7" hidden="1" x14ac:dyDescent="0.25">
      <c r="D9" s="2" t="s">
        <v>21</v>
      </c>
      <c r="E9" s="1">
        <f>5.83</f>
        <v>5.83</v>
      </c>
      <c r="F9" s="3">
        <f>Datos!C$3*'Resumen Atenuación tomas'!$E9</f>
        <v>0.6996</v>
      </c>
      <c r="G9" s="3">
        <f>Datos!D$3*'Resumen Atenuación tomas'!$E9</f>
        <v>0.87449999999999994</v>
      </c>
    </row>
    <row r="10" spans="1:7" hidden="1" x14ac:dyDescent="0.25">
      <c r="D10" s="2" t="s">
        <v>22</v>
      </c>
      <c r="F10" s="3">
        <f>Datos!C$21</f>
        <v>4</v>
      </c>
      <c r="G10" s="3">
        <f>Datos!D$21</f>
        <v>4</v>
      </c>
    </row>
    <row r="11" spans="1:7" x14ac:dyDescent="0.25">
      <c r="D11" s="2" t="s">
        <v>26</v>
      </c>
      <c r="F11" s="3">
        <f>SUM(F5:F10)</f>
        <v>35.200000000000003</v>
      </c>
      <c r="G11" s="3">
        <f>SUM(G5:G10)</f>
        <v>35.5</v>
      </c>
    </row>
    <row r="12" spans="1:7" x14ac:dyDescent="0.25">
      <c r="C12" s="2" t="s">
        <v>23</v>
      </c>
    </row>
    <row r="13" spans="1:7" hidden="1" x14ac:dyDescent="0.25">
      <c r="D13" s="2" t="s">
        <v>17</v>
      </c>
      <c r="E13" s="1">
        <f>3</f>
        <v>3</v>
      </c>
      <c r="F13" s="3">
        <f>Datos!C$3*'Resumen Atenuación tomas'!$E13</f>
        <v>0.36</v>
      </c>
      <c r="G13" s="3">
        <f>Datos!D$3*'Resumen Atenuación tomas'!$E13</f>
        <v>0.44999999999999996</v>
      </c>
    </row>
    <row r="14" spans="1:7" hidden="1" x14ac:dyDescent="0.25">
      <c r="D14" s="2" t="s">
        <v>18</v>
      </c>
      <c r="F14" s="3">
        <f>Datos!C$6</f>
        <v>21</v>
      </c>
      <c r="G14" s="3">
        <f>Datos!D$6</f>
        <v>21</v>
      </c>
    </row>
    <row r="15" spans="1:7" hidden="1" x14ac:dyDescent="0.25">
      <c r="D15" s="2" t="s">
        <v>19</v>
      </c>
      <c r="E15" s="1">
        <f>1.17</f>
        <v>1.17</v>
      </c>
      <c r="F15" s="3">
        <f>Datos!C$3*'Resumen Atenuación tomas'!$E15</f>
        <v>0.1404</v>
      </c>
      <c r="G15" s="3">
        <f>Datos!D$3*'Resumen Atenuación tomas'!$E15</f>
        <v>0.17549999999999999</v>
      </c>
    </row>
    <row r="16" spans="1:7" hidden="1" x14ac:dyDescent="0.25">
      <c r="D16" s="2" t="s">
        <v>20</v>
      </c>
      <c r="F16" s="3">
        <f>Datos!C$17</f>
        <v>9</v>
      </c>
      <c r="G16" s="3">
        <f>Datos!D$17</f>
        <v>9</v>
      </c>
    </row>
    <row r="17" spans="3:7" hidden="1" x14ac:dyDescent="0.25">
      <c r="D17" s="2" t="s">
        <v>27</v>
      </c>
      <c r="E17" s="1">
        <f>6.19</f>
        <v>6.19</v>
      </c>
      <c r="F17" s="3">
        <f>Datos!C$3*'Resumen Atenuación tomas'!$E17</f>
        <v>0.74280000000000002</v>
      </c>
      <c r="G17" s="3">
        <f>Datos!D$3*'Resumen Atenuación tomas'!$E17</f>
        <v>0.92849999999999999</v>
      </c>
    </row>
    <row r="18" spans="3:7" hidden="1" x14ac:dyDescent="0.25">
      <c r="D18" s="2" t="s">
        <v>22</v>
      </c>
      <c r="F18" s="3">
        <f>Datos!C$21</f>
        <v>4</v>
      </c>
      <c r="G18" s="3">
        <f>Datos!D$21</f>
        <v>4</v>
      </c>
    </row>
    <row r="19" spans="3:7" x14ac:dyDescent="0.25">
      <c r="D19" s="2" t="s">
        <v>26</v>
      </c>
      <c r="F19" s="3">
        <f>SUM(F13:F18)</f>
        <v>35.243200000000002</v>
      </c>
      <c r="G19" s="3">
        <f>SUM(G13:G18)</f>
        <v>35.554000000000002</v>
      </c>
    </row>
    <row r="20" spans="3:7" x14ac:dyDescent="0.25">
      <c r="C20" s="2" t="s">
        <v>24</v>
      </c>
    </row>
    <row r="21" spans="3:7" hidden="1" x14ac:dyDescent="0.25">
      <c r="D21" s="2" t="s">
        <v>17</v>
      </c>
      <c r="E21" s="1">
        <f>3</f>
        <v>3</v>
      </c>
      <c r="F21" s="3">
        <f>Datos!C$3*'Resumen Atenuación tomas'!$E21</f>
        <v>0.36</v>
      </c>
      <c r="G21" s="3">
        <f>Datos!D$3*'Resumen Atenuación tomas'!$E21</f>
        <v>0.44999999999999996</v>
      </c>
    </row>
    <row r="22" spans="3:7" hidden="1" x14ac:dyDescent="0.25">
      <c r="D22" s="2" t="s">
        <v>18</v>
      </c>
      <c r="F22" s="3">
        <f>Datos!C$6</f>
        <v>21</v>
      </c>
      <c r="G22" s="3">
        <f>Datos!D$6</f>
        <v>21</v>
      </c>
    </row>
    <row r="23" spans="3:7" hidden="1" x14ac:dyDescent="0.25">
      <c r="D23" s="2" t="s">
        <v>19</v>
      </c>
      <c r="E23" s="1">
        <f>1.17</f>
        <v>1.17</v>
      </c>
      <c r="F23" s="3">
        <f>Datos!C$3*'Resumen Atenuación tomas'!$E23</f>
        <v>0.1404</v>
      </c>
      <c r="G23" s="3">
        <f>Datos!D$3*'Resumen Atenuación tomas'!$E23</f>
        <v>0.17549999999999999</v>
      </c>
    </row>
    <row r="24" spans="3:7" hidden="1" x14ac:dyDescent="0.25">
      <c r="D24" s="2" t="s">
        <v>20</v>
      </c>
      <c r="F24" s="3">
        <f>Datos!C$17</f>
        <v>9</v>
      </c>
      <c r="G24" s="3">
        <f>Datos!D$17</f>
        <v>9</v>
      </c>
    </row>
    <row r="25" spans="3:7" hidden="1" x14ac:dyDescent="0.25">
      <c r="D25" s="2" t="s">
        <v>28</v>
      </c>
      <c r="E25" s="1">
        <f>7.22</f>
        <v>7.22</v>
      </c>
      <c r="F25" s="3">
        <f>Datos!C$3*'Resumen Atenuación tomas'!$E25</f>
        <v>0.86639999999999995</v>
      </c>
      <c r="G25" s="3">
        <f>Datos!D$3*'Resumen Atenuación tomas'!$E25</f>
        <v>1.083</v>
      </c>
    </row>
    <row r="26" spans="3:7" hidden="1" x14ac:dyDescent="0.25">
      <c r="D26" s="2" t="s">
        <v>22</v>
      </c>
      <c r="F26" s="3">
        <f>Datos!C$21</f>
        <v>4</v>
      </c>
      <c r="G26" s="3">
        <f>Datos!D$21</f>
        <v>4</v>
      </c>
    </row>
    <row r="27" spans="3:7" x14ac:dyDescent="0.25">
      <c r="D27" s="2" t="s">
        <v>26</v>
      </c>
      <c r="F27" s="3">
        <f>SUM(F21:F26)</f>
        <v>35.366799999999998</v>
      </c>
      <c r="G27" s="3">
        <f>SUM(G21:G26)</f>
        <v>35.708500000000001</v>
      </c>
    </row>
    <row r="28" spans="3:7" x14ac:dyDescent="0.25">
      <c r="C28" s="2" t="s">
        <v>25</v>
      </c>
    </row>
    <row r="29" spans="3:7" hidden="1" x14ac:dyDescent="0.25">
      <c r="D29" s="2" t="s">
        <v>17</v>
      </c>
      <c r="E29" s="1">
        <f>3</f>
        <v>3</v>
      </c>
      <c r="F29" s="3">
        <f>Datos!C$3*'Resumen Atenuación tomas'!$E29</f>
        <v>0.36</v>
      </c>
      <c r="G29" s="3">
        <f>Datos!D$3*'Resumen Atenuación tomas'!$E29</f>
        <v>0.44999999999999996</v>
      </c>
    </row>
    <row r="30" spans="3:7" hidden="1" x14ac:dyDescent="0.25">
      <c r="D30" s="2" t="s">
        <v>18</v>
      </c>
      <c r="F30" s="3">
        <f>Datos!C$6</f>
        <v>21</v>
      </c>
      <c r="G30" s="3">
        <f>Datos!D$6</f>
        <v>21</v>
      </c>
    </row>
    <row r="31" spans="3:7" hidden="1" x14ac:dyDescent="0.25">
      <c r="D31" s="2" t="s">
        <v>19</v>
      </c>
      <c r="E31" s="1">
        <f>1.17</f>
        <v>1.17</v>
      </c>
      <c r="F31" s="3">
        <f>Datos!C$3*'Resumen Atenuación tomas'!$E31</f>
        <v>0.1404</v>
      </c>
      <c r="G31" s="3">
        <f>Datos!D$3*'Resumen Atenuación tomas'!$E31</f>
        <v>0.17549999999999999</v>
      </c>
    </row>
    <row r="32" spans="3:7" hidden="1" x14ac:dyDescent="0.25">
      <c r="D32" s="2" t="s">
        <v>20</v>
      </c>
      <c r="F32" s="3">
        <f>Datos!C$17</f>
        <v>9</v>
      </c>
      <c r="G32" s="3">
        <f>Datos!D$17</f>
        <v>9</v>
      </c>
    </row>
    <row r="33" spans="2:7" hidden="1" x14ac:dyDescent="0.25">
      <c r="D33" s="2" t="s">
        <v>29</v>
      </c>
      <c r="E33" s="1">
        <f>6.62</f>
        <v>6.62</v>
      </c>
      <c r="F33" s="3">
        <f>Datos!C$3*'Resumen Atenuación tomas'!$E33</f>
        <v>0.7944</v>
      </c>
      <c r="G33" s="3">
        <f>Datos!D$3*'Resumen Atenuación tomas'!$E33</f>
        <v>0.99299999999999999</v>
      </c>
    </row>
    <row r="34" spans="2:7" hidden="1" x14ac:dyDescent="0.25">
      <c r="D34" s="2" t="s">
        <v>22</v>
      </c>
      <c r="F34" s="3">
        <f>Datos!C$21</f>
        <v>4</v>
      </c>
      <c r="G34" s="3">
        <f>Datos!D$21</f>
        <v>4</v>
      </c>
    </row>
    <row r="35" spans="2:7" x14ac:dyDescent="0.25">
      <c r="D35" s="2" t="s">
        <v>26</v>
      </c>
      <c r="F35" s="3">
        <f>SUM(F29:F34)</f>
        <v>35.294799999999995</v>
      </c>
      <c r="G35" s="3">
        <f>SUM(G29:G34)</f>
        <v>35.618499999999997</v>
      </c>
    </row>
    <row r="36" spans="2:7" x14ac:dyDescent="0.25">
      <c r="B36" s="2" t="s">
        <v>30</v>
      </c>
    </row>
    <row r="37" spans="2:7" x14ac:dyDescent="0.25">
      <c r="C37" s="2" t="s">
        <v>31</v>
      </c>
    </row>
    <row r="38" spans="2:7" hidden="1" x14ac:dyDescent="0.25">
      <c r="D38" s="2" t="s">
        <v>17</v>
      </c>
      <c r="E38" s="1">
        <f>3</f>
        <v>3</v>
      </c>
      <c r="F38" s="3">
        <f>Datos!C$3*'Resumen Atenuación tomas'!$E38</f>
        <v>0.36</v>
      </c>
      <c r="G38" s="3">
        <f>Datos!D$3*'Resumen Atenuación tomas'!$E38</f>
        <v>0.44999999999999996</v>
      </c>
    </row>
    <row r="39" spans="2:7" hidden="1" x14ac:dyDescent="0.25">
      <c r="D39" s="2" t="s">
        <v>18</v>
      </c>
      <c r="F39" s="3">
        <f>Datos!C$6</f>
        <v>21</v>
      </c>
      <c r="G39" s="3">
        <f>Datos!D$6</f>
        <v>21</v>
      </c>
    </row>
    <row r="40" spans="2:7" hidden="1" x14ac:dyDescent="0.25">
      <c r="D40" s="2" t="s">
        <v>32</v>
      </c>
      <c r="E40" s="1">
        <f>4.54</f>
        <v>4.54</v>
      </c>
      <c r="F40" s="3">
        <f>Datos!C$3*'Resumen Atenuación tomas'!$E40</f>
        <v>0.54479999999999995</v>
      </c>
      <c r="G40" s="3">
        <f>Datos!D$3*'Resumen Atenuación tomas'!$E40</f>
        <v>0.68099999999999994</v>
      </c>
    </row>
    <row r="41" spans="2:7" hidden="1" x14ac:dyDescent="0.25">
      <c r="D41" s="2" t="s">
        <v>20</v>
      </c>
      <c r="F41" s="3">
        <f>Datos!C$17</f>
        <v>9</v>
      </c>
      <c r="G41" s="3">
        <f>Datos!D$17</f>
        <v>9</v>
      </c>
    </row>
    <row r="42" spans="2:7" hidden="1" x14ac:dyDescent="0.25">
      <c r="D42" s="2" t="s">
        <v>34</v>
      </c>
      <c r="E42" s="1">
        <f>5</f>
        <v>5</v>
      </c>
      <c r="F42" s="3">
        <f>Datos!C$3*'Resumen Atenuación tomas'!$E42</f>
        <v>0.6</v>
      </c>
      <c r="G42" s="3">
        <f>Datos!D$3*'Resumen Atenuación tomas'!$E42</f>
        <v>0.75</v>
      </c>
    </row>
    <row r="43" spans="2:7" hidden="1" x14ac:dyDescent="0.25">
      <c r="D43" s="2" t="s">
        <v>22</v>
      </c>
      <c r="F43" s="3">
        <f>Datos!C$21</f>
        <v>4</v>
      </c>
      <c r="G43" s="3">
        <f>Datos!D$21</f>
        <v>4</v>
      </c>
    </row>
    <row r="44" spans="2:7" x14ac:dyDescent="0.25">
      <c r="D44" s="2" t="s">
        <v>26</v>
      </c>
      <c r="F44" s="3">
        <f>SUM(F38:F43)</f>
        <v>35.504800000000003</v>
      </c>
      <c r="G44" s="3">
        <f>SUM(G38:G43)</f>
        <v>35.881</v>
      </c>
    </row>
    <row r="45" spans="2:7" x14ac:dyDescent="0.25">
      <c r="C45" s="2" t="s">
        <v>35</v>
      </c>
    </row>
    <row r="46" spans="2:7" hidden="1" x14ac:dyDescent="0.25">
      <c r="D46" s="2" t="s">
        <v>17</v>
      </c>
      <c r="E46" s="1">
        <f>3</f>
        <v>3</v>
      </c>
      <c r="F46" s="3">
        <f>Datos!C$3*'Resumen Atenuación tomas'!$E46</f>
        <v>0.36</v>
      </c>
      <c r="G46" s="3">
        <f>Datos!D$3*'Resumen Atenuación tomas'!$E46</f>
        <v>0.44999999999999996</v>
      </c>
    </row>
    <row r="47" spans="2:7" hidden="1" x14ac:dyDescent="0.25">
      <c r="D47" s="2" t="s">
        <v>18</v>
      </c>
      <c r="F47" s="3">
        <f>Datos!C$6</f>
        <v>21</v>
      </c>
      <c r="G47" s="3">
        <f>Datos!D$6</f>
        <v>21</v>
      </c>
    </row>
    <row r="48" spans="2:7" hidden="1" x14ac:dyDescent="0.25">
      <c r="D48" s="2" t="s">
        <v>32</v>
      </c>
      <c r="E48" s="1">
        <f>4.54</f>
        <v>4.54</v>
      </c>
      <c r="F48" s="3">
        <f>Datos!C$3*'Resumen Atenuación tomas'!$E48</f>
        <v>0.54479999999999995</v>
      </c>
      <c r="G48" s="3">
        <f>Datos!D$3*'Resumen Atenuación tomas'!$E48</f>
        <v>0.68099999999999994</v>
      </c>
    </row>
    <row r="49" spans="2:7" hidden="1" x14ac:dyDescent="0.25">
      <c r="D49" s="2" t="s">
        <v>20</v>
      </c>
      <c r="F49" s="3">
        <f>Datos!C$17</f>
        <v>9</v>
      </c>
      <c r="G49" s="3">
        <f>Datos!D$17</f>
        <v>9</v>
      </c>
    </row>
    <row r="50" spans="2:7" hidden="1" x14ac:dyDescent="0.25">
      <c r="D50" s="2" t="s">
        <v>33</v>
      </c>
      <c r="E50" s="1">
        <f>8.49</f>
        <v>8.49</v>
      </c>
      <c r="F50" s="3">
        <f>Datos!C$3*'Resumen Atenuación tomas'!$E50</f>
        <v>1.0187999999999999</v>
      </c>
      <c r="G50" s="3">
        <f>Datos!D$3*'Resumen Atenuación tomas'!$E50</f>
        <v>1.2735000000000001</v>
      </c>
    </row>
    <row r="51" spans="2:7" hidden="1" x14ac:dyDescent="0.25">
      <c r="D51" s="2" t="s">
        <v>22</v>
      </c>
      <c r="F51" s="3">
        <f>Datos!C$21</f>
        <v>4</v>
      </c>
      <c r="G51" s="3">
        <f>Datos!D$21</f>
        <v>4</v>
      </c>
    </row>
    <row r="52" spans="2:7" x14ac:dyDescent="0.25">
      <c r="D52" s="2" t="s">
        <v>26</v>
      </c>
      <c r="F52" s="3">
        <f>SUM(F46:F51)</f>
        <v>35.923599999999993</v>
      </c>
      <c r="G52" s="3">
        <f>SUM(G46:G51)</f>
        <v>36.404499999999999</v>
      </c>
    </row>
    <row r="53" spans="2:7" x14ac:dyDescent="0.25">
      <c r="C53" s="2" t="s">
        <v>36</v>
      </c>
    </row>
    <row r="54" spans="2:7" hidden="1" x14ac:dyDescent="0.25">
      <c r="D54" s="2" t="s">
        <v>17</v>
      </c>
      <c r="E54" s="1">
        <f>3</f>
        <v>3</v>
      </c>
      <c r="F54" s="3">
        <f>Datos!C$3*'Resumen Atenuación tomas'!$E54</f>
        <v>0.36</v>
      </c>
      <c r="G54" s="3">
        <f>Datos!D$3*'Resumen Atenuación tomas'!$E54</f>
        <v>0.44999999999999996</v>
      </c>
    </row>
    <row r="55" spans="2:7" hidden="1" x14ac:dyDescent="0.25">
      <c r="D55" s="2" t="s">
        <v>18</v>
      </c>
      <c r="F55" s="3">
        <f>Datos!C$6</f>
        <v>21</v>
      </c>
      <c r="G55" s="3">
        <f>Datos!D$6</f>
        <v>21</v>
      </c>
    </row>
    <row r="56" spans="2:7" hidden="1" x14ac:dyDescent="0.25">
      <c r="D56" s="2" t="s">
        <v>32</v>
      </c>
      <c r="E56" s="1">
        <f>4.54</f>
        <v>4.54</v>
      </c>
      <c r="F56" s="3">
        <f>Datos!C$3*'Resumen Atenuación tomas'!$E56</f>
        <v>0.54479999999999995</v>
      </c>
      <c r="G56" s="3">
        <f>Datos!D$3*'Resumen Atenuación tomas'!$E56</f>
        <v>0.68099999999999994</v>
      </c>
    </row>
    <row r="57" spans="2:7" hidden="1" x14ac:dyDescent="0.25">
      <c r="D57" s="2" t="s">
        <v>20</v>
      </c>
      <c r="F57" s="3">
        <f>Datos!C$17</f>
        <v>9</v>
      </c>
      <c r="G57" s="3">
        <f>Datos!D$17</f>
        <v>9</v>
      </c>
    </row>
    <row r="58" spans="2:7" hidden="1" x14ac:dyDescent="0.25">
      <c r="D58" s="2" t="s">
        <v>37</v>
      </c>
      <c r="E58" s="1">
        <f>9.67</f>
        <v>9.67</v>
      </c>
      <c r="F58" s="3">
        <f>Datos!C$3*'Resumen Atenuación tomas'!$E58</f>
        <v>1.1603999999999999</v>
      </c>
      <c r="G58" s="3">
        <f>Datos!D$3*'Resumen Atenuación tomas'!$E58</f>
        <v>1.4504999999999999</v>
      </c>
    </row>
    <row r="59" spans="2:7" hidden="1" x14ac:dyDescent="0.25">
      <c r="D59" s="2" t="s">
        <v>22</v>
      </c>
      <c r="F59" s="3">
        <f>Datos!C$21</f>
        <v>4</v>
      </c>
      <c r="G59" s="3">
        <f>Datos!D$21</f>
        <v>4</v>
      </c>
    </row>
    <row r="60" spans="2:7" x14ac:dyDescent="0.25">
      <c r="D60" s="2" t="s">
        <v>26</v>
      </c>
      <c r="F60" s="3">
        <f>SUM(F54:F59)</f>
        <v>36.065199999999997</v>
      </c>
      <c r="G60" s="3">
        <f>SUM(G54:G59)</f>
        <v>36.581499999999998</v>
      </c>
    </row>
    <row r="61" spans="2:7" x14ac:dyDescent="0.25">
      <c r="B61" s="2" t="s">
        <v>38</v>
      </c>
    </row>
    <row r="62" spans="2:7" x14ac:dyDescent="0.25">
      <c r="C62" s="2" t="s">
        <v>39</v>
      </c>
    </row>
    <row r="63" spans="2:7" hidden="1" x14ac:dyDescent="0.25">
      <c r="D63" s="2" t="s">
        <v>17</v>
      </c>
      <c r="E63" s="1">
        <f>3</f>
        <v>3</v>
      </c>
      <c r="F63" s="3">
        <f>Datos!C$3*'Resumen Atenuación tomas'!$E63</f>
        <v>0.36</v>
      </c>
      <c r="G63" s="3">
        <f>Datos!D$3*'Resumen Atenuación tomas'!$E63</f>
        <v>0.44999999999999996</v>
      </c>
    </row>
    <row r="64" spans="2:7" hidden="1" x14ac:dyDescent="0.25">
      <c r="D64" s="2" t="s">
        <v>18</v>
      </c>
      <c r="F64" s="3">
        <f>Datos!C$6</f>
        <v>21</v>
      </c>
      <c r="G64" s="3">
        <f>Datos!D$6</f>
        <v>21</v>
      </c>
    </row>
    <row r="65" spans="3:7" hidden="1" x14ac:dyDescent="0.25">
      <c r="D65" s="2" t="s">
        <v>40</v>
      </c>
      <c r="E65" s="1">
        <f>4.94</f>
        <v>4.9400000000000004</v>
      </c>
      <c r="F65" s="3">
        <f>Datos!C$3*'Resumen Atenuación tomas'!$E65</f>
        <v>0.59279999999999999</v>
      </c>
      <c r="G65" s="3">
        <f>Datos!D$3*'Resumen Atenuación tomas'!$E65</f>
        <v>0.74099999999999999</v>
      </c>
    </row>
    <row r="66" spans="3:7" hidden="1" x14ac:dyDescent="0.25">
      <c r="D66" s="2" t="s">
        <v>20</v>
      </c>
      <c r="F66" s="3">
        <f>Datos!C$17</f>
        <v>9</v>
      </c>
      <c r="G66" s="3">
        <f>Datos!D$17</f>
        <v>9</v>
      </c>
    </row>
    <row r="67" spans="3:7" hidden="1" x14ac:dyDescent="0.25">
      <c r="D67" s="2" t="s">
        <v>41</v>
      </c>
      <c r="E67" s="1">
        <f>7.88</f>
        <v>7.88</v>
      </c>
      <c r="F67" s="3">
        <f>Datos!C$3*'Resumen Atenuación tomas'!$E67</f>
        <v>0.9456</v>
      </c>
      <c r="G67" s="3">
        <f>Datos!D$3*'Resumen Atenuación tomas'!$E67</f>
        <v>1.1819999999999999</v>
      </c>
    </row>
    <row r="68" spans="3:7" hidden="1" x14ac:dyDescent="0.25">
      <c r="D68" s="2" t="s">
        <v>22</v>
      </c>
      <c r="F68" s="3">
        <f>Datos!C$21</f>
        <v>4</v>
      </c>
      <c r="G68" s="3">
        <f>Datos!D$21</f>
        <v>4</v>
      </c>
    </row>
    <row r="69" spans="3:7" x14ac:dyDescent="0.25">
      <c r="D69" s="2" t="s">
        <v>26</v>
      </c>
      <c r="F69" s="3">
        <f>SUM(F63:F68)</f>
        <v>35.898399999999995</v>
      </c>
      <c r="G69" s="3">
        <f>SUM(G63:G68)</f>
        <v>36.372999999999998</v>
      </c>
    </row>
    <row r="70" spans="3:7" x14ac:dyDescent="0.25">
      <c r="C70" s="2" t="s">
        <v>42</v>
      </c>
    </row>
    <row r="71" spans="3:7" hidden="1" x14ac:dyDescent="0.25">
      <c r="D71" s="2" t="s">
        <v>17</v>
      </c>
      <c r="E71" s="1">
        <f>3</f>
        <v>3</v>
      </c>
      <c r="F71" s="3">
        <f>Datos!C$3*'Resumen Atenuación tomas'!$E71</f>
        <v>0.36</v>
      </c>
      <c r="G71" s="3">
        <f>Datos!D$3*'Resumen Atenuación tomas'!$E71</f>
        <v>0.44999999999999996</v>
      </c>
    </row>
    <row r="72" spans="3:7" hidden="1" x14ac:dyDescent="0.25">
      <c r="D72" s="2" t="s">
        <v>18</v>
      </c>
      <c r="F72" s="3">
        <f>Datos!C$6</f>
        <v>21</v>
      </c>
      <c r="G72" s="3">
        <f>Datos!D$6</f>
        <v>21</v>
      </c>
    </row>
    <row r="73" spans="3:7" hidden="1" x14ac:dyDescent="0.25">
      <c r="D73" s="2" t="s">
        <v>40</v>
      </c>
      <c r="E73" s="1">
        <f>4.94</f>
        <v>4.9400000000000004</v>
      </c>
      <c r="F73" s="3">
        <f>Datos!C$3*'Resumen Atenuación tomas'!$E73</f>
        <v>0.59279999999999999</v>
      </c>
      <c r="G73" s="3">
        <f>Datos!D$3*'Resumen Atenuación tomas'!$E73</f>
        <v>0.74099999999999999</v>
      </c>
    </row>
    <row r="74" spans="3:7" hidden="1" x14ac:dyDescent="0.25">
      <c r="D74" s="2" t="s">
        <v>20</v>
      </c>
      <c r="F74" s="3">
        <f>Datos!C$17</f>
        <v>9</v>
      </c>
      <c r="G74" s="3">
        <f>Datos!D$17</f>
        <v>9</v>
      </c>
    </row>
    <row r="75" spans="3:7" hidden="1" x14ac:dyDescent="0.25">
      <c r="D75" s="2" t="s">
        <v>44</v>
      </c>
      <c r="E75" s="1">
        <f>4.89</f>
        <v>4.8899999999999997</v>
      </c>
      <c r="F75" s="3">
        <f>Datos!C$3*'Resumen Atenuación tomas'!$E75</f>
        <v>0.58679999999999999</v>
      </c>
      <c r="G75" s="3">
        <f>Datos!D$3*'Resumen Atenuación tomas'!$E75</f>
        <v>0.73349999999999993</v>
      </c>
    </row>
    <row r="76" spans="3:7" hidden="1" x14ac:dyDescent="0.25">
      <c r="D76" s="2" t="s">
        <v>22</v>
      </c>
      <c r="F76" s="3">
        <f>Datos!C$21</f>
        <v>4</v>
      </c>
      <c r="G76" s="3">
        <f>Datos!D$21</f>
        <v>4</v>
      </c>
    </row>
    <row r="77" spans="3:7" x14ac:dyDescent="0.25">
      <c r="D77" s="2" t="s">
        <v>26</v>
      </c>
      <c r="F77" s="3">
        <f>SUM(F71:F76)</f>
        <v>35.5396</v>
      </c>
      <c r="G77" s="3">
        <f>SUM(G71:G76)</f>
        <v>35.924499999999995</v>
      </c>
    </row>
    <row r="78" spans="3:7" x14ac:dyDescent="0.25">
      <c r="C78" s="2" t="s">
        <v>43</v>
      </c>
    </row>
    <row r="79" spans="3:7" hidden="1" x14ac:dyDescent="0.25">
      <c r="D79" s="2" t="s">
        <v>17</v>
      </c>
      <c r="E79" s="1">
        <f>3</f>
        <v>3</v>
      </c>
      <c r="F79" s="3">
        <f>Datos!C$3*'Resumen Atenuación tomas'!$E79</f>
        <v>0.36</v>
      </c>
      <c r="G79" s="3">
        <f>Datos!D$3*'Resumen Atenuación tomas'!$E79</f>
        <v>0.44999999999999996</v>
      </c>
    </row>
    <row r="80" spans="3:7" hidden="1" x14ac:dyDescent="0.25">
      <c r="D80" s="2" t="s">
        <v>18</v>
      </c>
      <c r="F80" s="3">
        <f>Datos!C$6</f>
        <v>21</v>
      </c>
      <c r="G80" s="3">
        <f>Datos!D$6</f>
        <v>21</v>
      </c>
    </row>
    <row r="81" spans="1:7" hidden="1" x14ac:dyDescent="0.25">
      <c r="D81" s="2" t="s">
        <v>40</v>
      </c>
      <c r="E81" s="1">
        <f>4.94</f>
        <v>4.9400000000000004</v>
      </c>
      <c r="F81" s="3">
        <f>Datos!C$3*'Resumen Atenuación tomas'!$E81</f>
        <v>0.59279999999999999</v>
      </c>
      <c r="G81" s="3">
        <f>Datos!D$3*'Resumen Atenuación tomas'!$E81</f>
        <v>0.74099999999999999</v>
      </c>
    </row>
    <row r="82" spans="1:7" hidden="1" x14ac:dyDescent="0.25">
      <c r="D82" s="2" t="s">
        <v>20</v>
      </c>
      <c r="F82" s="3">
        <f>Datos!C$17</f>
        <v>9</v>
      </c>
      <c r="G82" s="3">
        <f>Datos!D$17</f>
        <v>9</v>
      </c>
    </row>
    <row r="83" spans="1:7" hidden="1" x14ac:dyDescent="0.25">
      <c r="D83" s="2" t="s">
        <v>45</v>
      </c>
      <c r="E83" s="1">
        <f>6.65</f>
        <v>6.65</v>
      </c>
      <c r="F83" s="3">
        <f>Datos!C$3*'Resumen Atenuación tomas'!$E83</f>
        <v>0.79800000000000004</v>
      </c>
      <c r="G83" s="3">
        <f>Datos!D$3*'Resumen Atenuación tomas'!$E83</f>
        <v>0.99750000000000005</v>
      </c>
    </row>
    <row r="84" spans="1:7" hidden="1" x14ac:dyDescent="0.25">
      <c r="D84" s="2" t="s">
        <v>22</v>
      </c>
      <c r="F84" s="3">
        <f>Datos!C$21</f>
        <v>4</v>
      </c>
      <c r="G84" s="3">
        <f>Datos!D$21</f>
        <v>4</v>
      </c>
    </row>
    <row r="85" spans="1:7" x14ac:dyDescent="0.25">
      <c r="D85" s="2" t="s">
        <v>26</v>
      </c>
      <c r="F85" s="3">
        <f>SUM(F79:F84)</f>
        <v>35.750799999999998</v>
      </c>
      <c r="G85" s="3">
        <f>SUM(G79:G84)</f>
        <v>36.188499999999998</v>
      </c>
    </row>
    <row r="86" spans="1:7" x14ac:dyDescent="0.25">
      <c r="C86" s="2" t="s">
        <v>46</v>
      </c>
    </row>
    <row r="87" spans="1:7" hidden="1" x14ac:dyDescent="0.25">
      <c r="D87" s="2" t="s">
        <v>17</v>
      </c>
      <c r="E87" s="1">
        <f>3</f>
        <v>3</v>
      </c>
      <c r="F87" s="3">
        <f>Datos!C$3*'Resumen Atenuación tomas'!$E87</f>
        <v>0.36</v>
      </c>
      <c r="G87" s="3">
        <f>Datos!D$3*'Resumen Atenuación tomas'!$E87</f>
        <v>0.44999999999999996</v>
      </c>
    </row>
    <row r="88" spans="1:7" hidden="1" x14ac:dyDescent="0.25">
      <c r="D88" s="2" t="s">
        <v>18</v>
      </c>
      <c r="F88" s="3">
        <f>Datos!C$6</f>
        <v>21</v>
      </c>
      <c r="G88" s="3">
        <f>Datos!D$6</f>
        <v>21</v>
      </c>
    </row>
    <row r="89" spans="1:7" hidden="1" x14ac:dyDescent="0.25">
      <c r="D89" s="2" t="s">
        <v>40</v>
      </c>
      <c r="E89" s="1">
        <f>4.94</f>
        <v>4.9400000000000004</v>
      </c>
      <c r="F89" s="3">
        <f>Datos!C$3*'Resumen Atenuación tomas'!$E89</f>
        <v>0.59279999999999999</v>
      </c>
      <c r="G89" s="3">
        <f>Datos!D$3*'Resumen Atenuación tomas'!$E89</f>
        <v>0.74099999999999999</v>
      </c>
    </row>
    <row r="90" spans="1:7" hidden="1" x14ac:dyDescent="0.25">
      <c r="D90" s="2" t="s">
        <v>20</v>
      </c>
      <c r="F90" s="3">
        <f>Datos!C$17</f>
        <v>9</v>
      </c>
      <c r="G90" s="3">
        <f>Datos!D$17</f>
        <v>9</v>
      </c>
    </row>
    <row r="91" spans="1:7" hidden="1" x14ac:dyDescent="0.25">
      <c r="D91" s="2" t="s">
        <v>47</v>
      </c>
      <c r="E91" s="1">
        <f>8.81</f>
        <v>8.81</v>
      </c>
      <c r="F91" s="3">
        <f>Datos!C$3*'Resumen Atenuación tomas'!$E91</f>
        <v>1.0571999999999999</v>
      </c>
      <c r="G91" s="3">
        <f>Datos!D$3*'Resumen Atenuación tomas'!$E91</f>
        <v>1.3215000000000001</v>
      </c>
    </row>
    <row r="92" spans="1:7" hidden="1" x14ac:dyDescent="0.25">
      <c r="D92" s="2" t="s">
        <v>22</v>
      </c>
      <c r="F92" s="3">
        <f>Datos!C$21</f>
        <v>4</v>
      </c>
      <c r="G92" s="3">
        <f>Datos!D$21</f>
        <v>4</v>
      </c>
    </row>
    <row r="93" spans="1:7" x14ac:dyDescent="0.25">
      <c r="D93" s="2" t="s">
        <v>26</v>
      </c>
      <c r="F93" s="3">
        <f>SUM(F87:F92)</f>
        <v>36.01</v>
      </c>
      <c r="G93" s="3">
        <f>SUM(G87:G92)</f>
        <v>36.512499999999996</v>
      </c>
    </row>
    <row r="94" spans="1:7" x14ac:dyDescent="0.25">
      <c r="A94" s="2" t="s">
        <v>48</v>
      </c>
    </row>
    <row r="95" spans="1:7" x14ac:dyDescent="0.25">
      <c r="B95" s="2" t="s">
        <v>14</v>
      </c>
    </row>
    <row r="96" spans="1:7" x14ac:dyDescent="0.25">
      <c r="C96" s="2" t="s">
        <v>49</v>
      </c>
    </row>
    <row r="97" spans="3:7" hidden="1" x14ac:dyDescent="0.25">
      <c r="D97" s="2" t="s">
        <v>17</v>
      </c>
      <c r="E97" s="1">
        <f>3</f>
        <v>3</v>
      </c>
      <c r="F97" s="3">
        <f>Datos!C$3*'Resumen Atenuación tomas'!$E97</f>
        <v>0.36</v>
      </c>
      <c r="G97" s="3">
        <f>Datos!D$3*'Resumen Atenuación tomas'!$E97</f>
        <v>0.44999999999999996</v>
      </c>
    </row>
    <row r="98" spans="3:7" hidden="1" x14ac:dyDescent="0.25">
      <c r="D98" s="2" t="s">
        <v>50</v>
      </c>
      <c r="F98" s="3">
        <f>Datos!C$5</f>
        <v>0.8</v>
      </c>
      <c r="G98" s="3">
        <f>Datos!D$5</f>
        <v>0.8</v>
      </c>
    </row>
    <row r="99" spans="3:7" hidden="1" x14ac:dyDescent="0.25">
      <c r="D99" s="2" t="s">
        <v>51</v>
      </c>
      <c r="E99" s="1">
        <f>2.85</f>
        <v>2.85</v>
      </c>
      <c r="F99" s="3">
        <f>Datos!C$3*'Resumen Atenuación tomas'!$E99</f>
        <v>0.34199999999999997</v>
      </c>
      <c r="G99" s="3">
        <f>Datos!D$3*'Resumen Atenuación tomas'!$E99</f>
        <v>0.42749999999999999</v>
      </c>
    </row>
    <row r="100" spans="3:7" hidden="1" x14ac:dyDescent="0.25">
      <c r="D100" s="2" t="s">
        <v>18</v>
      </c>
      <c r="F100" s="3">
        <f>Datos!C$6</f>
        <v>21</v>
      </c>
      <c r="G100" s="3">
        <f>Datos!D$6</f>
        <v>21</v>
      </c>
    </row>
    <row r="101" spans="3:7" hidden="1" x14ac:dyDescent="0.25">
      <c r="D101" s="2" t="s">
        <v>52</v>
      </c>
      <c r="E101" s="1">
        <f>1.12</f>
        <v>1.1200000000000001</v>
      </c>
      <c r="F101" s="3">
        <f>Datos!C$3*'Resumen Atenuación tomas'!$E101</f>
        <v>0.13440000000000002</v>
      </c>
      <c r="G101" s="3">
        <f>Datos!D$3*'Resumen Atenuación tomas'!$E101</f>
        <v>0.16800000000000001</v>
      </c>
    </row>
    <row r="102" spans="3:7" hidden="1" x14ac:dyDescent="0.25">
      <c r="D102" s="2" t="s">
        <v>55</v>
      </c>
      <c r="F102" s="3">
        <f>Datos!C$19</f>
        <v>13</v>
      </c>
      <c r="G102" s="3">
        <f>Datos!D$19</f>
        <v>13</v>
      </c>
    </row>
    <row r="103" spans="3:7" hidden="1" x14ac:dyDescent="0.25">
      <c r="D103" s="2" t="s">
        <v>53</v>
      </c>
      <c r="E103" s="1">
        <f>13.92</f>
        <v>13.92</v>
      </c>
      <c r="F103" s="3">
        <f>Datos!C$3*'Resumen Atenuación tomas'!$E103</f>
        <v>1.6703999999999999</v>
      </c>
      <c r="G103" s="3">
        <f>Datos!D$3*'Resumen Atenuación tomas'!$E103</f>
        <v>2.0880000000000001</v>
      </c>
    </row>
    <row r="104" spans="3:7" hidden="1" x14ac:dyDescent="0.25">
      <c r="D104" s="2" t="s">
        <v>22</v>
      </c>
      <c r="F104" s="3">
        <f>Datos!C$21</f>
        <v>4</v>
      </c>
      <c r="G104" s="3">
        <f>Datos!D$21</f>
        <v>4</v>
      </c>
    </row>
    <row r="105" spans="3:7" x14ac:dyDescent="0.25">
      <c r="D105" s="2" t="s">
        <v>26</v>
      </c>
      <c r="F105" s="3">
        <f>SUM(F97:F104)</f>
        <v>41.306799999999996</v>
      </c>
      <c r="G105" s="3">
        <f>SUM(G97:G104)</f>
        <v>41.933500000000002</v>
      </c>
    </row>
    <row r="106" spans="3:7" x14ac:dyDescent="0.25">
      <c r="C106" s="2" t="s">
        <v>56</v>
      </c>
    </row>
    <row r="107" spans="3:7" hidden="1" x14ac:dyDescent="0.25">
      <c r="D107" s="2" t="s">
        <v>17</v>
      </c>
      <c r="E107" s="1">
        <f>3</f>
        <v>3</v>
      </c>
      <c r="F107" s="3">
        <f>Datos!C$3*'Resumen Atenuación tomas'!$E107</f>
        <v>0.36</v>
      </c>
      <c r="G107" s="3">
        <f>Datos!D$3*'Resumen Atenuación tomas'!$E107</f>
        <v>0.44999999999999996</v>
      </c>
    </row>
    <row r="108" spans="3:7" hidden="1" x14ac:dyDescent="0.25">
      <c r="D108" s="2" t="s">
        <v>50</v>
      </c>
      <c r="F108" s="3">
        <f>Datos!C$5</f>
        <v>0.8</v>
      </c>
      <c r="G108" s="3">
        <f>Datos!D$5</f>
        <v>0.8</v>
      </c>
    </row>
    <row r="109" spans="3:7" hidden="1" x14ac:dyDescent="0.25">
      <c r="D109" s="2" t="s">
        <v>51</v>
      </c>
      <c r="E109" s="1">
        <f>2.85</f>
        <v>2.85</v>
      </c>
      <c r="F109" s="3">
        <f>Datos!C$3*'Resumen Atenuación tomas'!$E109</f>
        <v>0.34199999999999997</v>
      </c>
      <c r="G109" s="3">
        <f>Datos!D$3*'Resumen Atenuación tomas'!$E109</f>
        <v>0.42749999999999999</v>
      </c>
    </row>
    <row r="110" spans="3:7" hidden="1" x14ac:dyDescent="0.25">
      <c r="D110" s="2" t="s">
        <v>18</v>
      </c>
      <c r="F110" s="3">
        <f>Datos!C$6</f>
        <v>21</v>
      </c>
      <c r="G110" s="3">
        <f>Datos!D$6</f>
        <v>21</v>
      </c>
    </row>
    <row r="111" spans="3:7" hidden="1" x14ac:dyDescent="0.25">
      <c r="D111" s="2" t="s">
        <v>52</v>
      </c>
      <c r="E111" s="1">
        <f>1.12</f>
        <v>1.1200000000000001</v>
      </c>
      <c r="F111" s="3">
        <f>Datos!C$3*'Resumen Atenuación tomas'!$E111</f>
        <v>0.13440000000000002</v>
      </c>
      <c r="G111" s="3">
        <f>Datos!D$3*'Resumen Atenuación tomas'!$E111</f>
        <v>0.16800000000000001</v>
      </c>
    </row>
    <row r="112" spans="3:7" hidden="1" x14ac:dyDescent="0.25">
      <c r="D112" s="2" t="s">
        <v>55</v>
      </c>
      <c r="F112" s="3">
        <f>Datos!C$19</f>
        <v>13</v>
      </c>
      <c r="G112" s="3">
        <f>Datos!D$19</f>
        <v>13</v>
      </c>
    </row>
    <row r="113" spans="3:7" hidden="1" x14ac:dyDescent="0.25">
      <c r="D113" s="2" t="s">
        <v>60</v>
      </c>
      <c r="E113" s="1">
        <f>6.13</f>
        <v>6.13</v>
      </c>
      <c r="F113" s="3">
        <f>Datos!C$3*'Resumen Atenuación tomas'!$E113</f>
        <v>0.73559999999999992</v>
      </c>
      <c r="G113" s="3">
        <f>Datos!D$3*'Resumen Atenuación tomas'!$E113</f>
        <v>0.91949999999999998</v>
      </c>
    </row>
    <row r="114" spans="3:7" hidden="1" x14ac:dyDescent="0.25">
      <c r="D114" s="2" t="s">
        <v>22</v>
      </c>
      <c r="F114" s="3">
        <f>Datos!C$21</f>
        <v>4</v>
      </c>
      <c r="G114" s="3">
        <f>Datos!D$21</f>
        <v>4</v>
      </c>
    </row>
    <row r="115" spans="3:7" x14ac:dyDescent="0.25">
      <c r="D115" s="2" t="s">
        <v>26</v>
      </c>
      <c r="F115" s="3">
        <f>SUM(F107:F114)</f>
        <v>40.371999999999993</v>
      </c>
      <c r="G115" s="3">
        <f>SUM(G107:G114)</f>
        <v>40.765000000000001</v>
      </c>
    </row>
    <row r="116" spans="3:7" x14ac:dyDescent="0.25">
      <c r="C116" s="2" t="s">
        <v>57</v>
      </c>
    </row>
    <row r="117" spans="3:7" hidden="1" x14ac:dyDescent="0.25">
      <c r="D117" s="2" t="s">
        <v>17</v>
      </c>
      <c r="E117" s="1">
        <f>3</f>
        <v>3</v>
      </c>
      <c r="F117" s="3">
        <f>Datos!C$3*'Resumen Atenuación tomas'!$E117</f>
        <v>0.36</v>
      </c>
      <c r="G117" s="3">
        <f>Datos!D$3*'Resumen Atenuación tomas'!$E117</f>
        <v>0.44999999999999996</v>
      </c>
    </row>
    <row r="118" spans="3:7" hidden="1" x14ac:dyDescent="0.25">
      <c r="D118" s="2" t="s">
        <v>50</v>
      </c>
      <c r="F118" s="3">
        <f>Datos!C$5</f>
        <v>0.8</v>
      </c>
      <c r="G118" s="3">
        <f>Datos!D$5</f>
        <v>0.8</v>
      </c>
    </row>
    <row r="119" spans="3:7" hidden="1" x14ac:dyDescent="0.25">
      <c r="D119" s="2" t="s">
        <v>51</v>
      </c>
      <c r="E119" s="1">
        <f>2.85</f>
        <v>2.85</v>
      </c>
      <c r="F119" s="3">
        <f>Datos!C$3*'Resumen Atenuación tomas'!$E119</f>
        <v>0.34199999999999997</v>
      </c>
      <c r="G119" s="3">
        <f>Datos!D$3*'Resumen Atenuación tomas'!$E119</f>
        <v>0.42749999999999999</v>
      </c>
    </row>
    <row r="120" spans="3:7" hidden="1" x14ac:dyDescent="0.25">
      <c r="D120" s="2" t="s">
        <v>18</v>
      </c>
      <c r="F120" s="3">
        <f>Datos!C$6</f>
        <v>21</v>
      </c>
      <c r="G120" s="3">
        <f>Datos!D$6</f>
        <v>21</v>
      </c>
    </row>
    <row r="121" spans="3:7" hidden="1" x14ac:dyDescent="0.25">
      <c r="D121" s="2" t="s">
        <v>52</v>
      </c>
      <c r="E121" s="1">
        <f>1.12</f>
        <v>1.1200000000000001</v>
      </c>
      <c r="F121" s="3">
        <f>Datos!C$3*'Resumen Atenuación tomas'!$E121</f>
        <v>0.13440000000000002</v>
      </c>
      <c r="G121" s="3">
        <f>Datos!D$3*'Resumen Atenuación tomas'!$E121</f>
        <v>0.16800000000000001</v>
      </c>
    </row>
    <row r="122" spans="3:7" hidden="1" x14ac:dyDescent="0.25">
      <c r="D122" s="2" t="s">
        <v>55</v>
      </c>
      <c r="F122" s="3">
        <f>Datos!C$19</f>
        <v>13</v>
      </c>
      <c r="G122" s="3">
        <f>Datos!D$19</f>
        <v>13</v>
      </c>
    </row>
    <row r="123" spans="3:7" hidden="1" x14ac:dyDescent="0.25">
      <c r="D123" s="2" t="s">
        <v>61</v>
      </c>
      <c r="E123" s="1">
        <f>8</f>
        <v>8</v>
      </c>
      <c r="F123" s="3">
        <f>Datos!C$3*'Resumen Atenuación tomas'!$E123</f>
        <v>0.96</v>
      </c>
      <c r="G123" s="3">
        <f>Datos!D$3*'Resumen Atenuación tomas'!$E123</f>
        <v>1.2</v>
      </c>
    </row>
    <row r="124" spans="3:7" hidden="1" x14ac:dyDescent="0.25">
      <c r="D124" s="2" t="s">
        <v>22</v>
      </c>
      <c r="F124" s="3">
        <f>Datos!C$21</f>
        <v>4</v>
      </c>
      <c r="G124" s="3">
        <f>Datos!D$21</f>
        <v>4</v>
      </c>
    </row>
    <row r="125" spans="3:7" x14ac:dyDescent="0.25">
      <c r="D125" s="2" t="s">
        <v>26</v>
      </c>
      <c r="F125" s="3">
        <f>SUM(F117:F124)</f>
        <v>40.596399999999996</v>
      </c>
      <c r="G125" s="3">
        <f>SUM(G117:G124)</f>
        <v>41.045500000000004</v>
      </c>
    </row>
    <row r="126" spans="3:7" x14ac:dyDescent="0.25">
      <c r="C126" s="2" t="s">
        <v>58</v>
      </c>
    </row>
    <row r="127" spans="3:7" hidden="1" x14ac:dyDescent="0.25">
      <c r="D127" s="2" t="s">
        <v>17</v>
      </c>
      <c r="E127" s="1">
        <f>3</f>
        <v>3</v>
      </c>
      <c r="F127" s="3">
        <f>Datos!C$3*'Resumen Atenuación tomas'!$E127</f>
        <v>0.36</v>
      </c>
      <c r="G127" s="3">
        <f>Datos!D$3*'Resumen Atenuación tomas'!$E127</f>
        <v>0.44999999999999996</v>
      </c>
    </row>
    <row r="128" spans="3:7" hidden="1" x14ac:dyDescent="0.25">
      <c r="D128" s="2" t="s">
        <v>50</v>
      </c>
      <c r="F128" s="3">
        <f>Datos!C$5</f>
        <v>0.8</v>
      </c>
      <c r="G128" s="3">
        <f>Datos!D$5</f>
        <v>0.8</v>
      </c>
    </row>
    <row r="129" spans="3:7" hidden="1" x14ac:dyDescent="0.25">
      <c r="D129" s="2" t="s">
        <v>51</v>
      </c>
      <c r="E129" s="1">
        <f>2.85</f>
        <v>2.85</v>
      </c>
      <c r="F129" s="3">
        <f>Datos!C$3*'Resumen Atenuación tomas'!$E129</f>
        <v>0.34199999999999997</v>
      </c>
      <c r="G129" s="3">
        <f>Datos!D$3*'Resumen Atenuación tomas'!$E129</f>
        <v>0.42749999999999999</v>
      </c>
    </row>
    <row r="130" spans="3:7" hidden="1" x14ac:dyDescent="0.25">
      <c r="D130" s="2" t="s">
        <v>18</v>
      </c>
      <c r="F130" s="3">
        <f>Datos!C$6</f>
        <v>21</v>
      </c>
      <c r="G130" s="3">
        <f>Datos!D$6</f>
        <v>21</v>
      </c>
    </row>
    <row r="131" spans="3:7" hidden="1" x14ac:dyDescent="0.25">
      <c r="D131" s="2" t="s">
        <v>52</v>
      </c>
      <c r="E131" s="1">
        <f>1.12</f>
        <v>1.1200000000000001</v>
      </c>
      <c r="F131" s="3">
        <f>Datos!C$3*'Resumen Atenuación tomas'!$E131</f>
        <v>0.13440000000000002</v>
      </c>
      <c r="G131" s="3">
        <f>Datos!D$3*'Resumen Atenuación tomas'!$E131</f>
        <v>0.16800000000000001</v>
      </c>
    </row>
    <row r="132" spans="3:7" hidden="1" x14ac:dyDescent="0.25">
      <c r="D132" s="2" t="s">
        <v>55</v>
      </c>
      <c r="F132" s="3">
        <f>Datos!C$19</f>
        <v>13</v>
      </c>
      <c r="G132" s="3">
        <f>Datos!D$19</f>
        <v>13</v>
      </c>
    </row>
    <row r="133" spans="3:7" hidden="1" x14ac:dyDescent="0.25">
      <c r="D133" s="2" t="s">
        <v>62</v>
      </c>
      <c r="E133" s="1">
        <f>7.74</f>
        <v>7.74</v>
      </c>
      <c r="F133" s="3">
        <f>Datos!C$3*'Resumen Atenuación tomas'!$E133</f>
        <v>0.92879999999999996</v>
      </c>
      <c r="G133" s="3">
        <f>Datos!D$3*'Resumen Atenuación tomas'!$E133</f>
        <v>1.161</v>
      </c>
    </row>
    <row r="134" spans="3:7" hidden="1" x14ac:dyDescent="0.25">
      <c r="D134" s="2" t="s">
        <v>22</v>
      </c>
      <c r="F134" s="3">
        <f>Datos!C$21</f>
        <v>4</v>
      </c>
      <c r="G134" s="3">
        <f>Datos!D$21</f>
        <v>4</v>
      </c>
    </row>
    <row r="135" spans="3:7" x14ac:dyDescent="0.25">
      <c r="D135" s="2" t="s">
        <v>26</v>
      </c>
      <c r="F135" s="3">
        <f>SUM(F127:F134)</f>
        <v>40.565199999999997</v>
      </c>
      <c r="G135" s="3">
        <f>SUM(G127:G134)</f>
        <v>41.006500000000003</v>
      </c>
    </row>
    <row r="136" spans="3:7" x14ac:dyDescent="0.25">
      <c r="C136" s="2" t="s">
        <v>59</v>
      </c>
    </row>
    <row r="137" spans="3:7" hidden="1" x14ac:dyDescent="0.25">
      <c r="D137" s="2" t="s">
        <v>17</v>
      </c>
      <c r="E137" s="1">
        <f>3</f>
        <v>3</v>
      </c>
      <c r="F137" s="3">
        <f>Datos!C$3*'Resumen Atenuación tomas'!$E137</f>
        <v>0.36</v>
      </c>
      <c r="G137" s="3">
        <f>Datos!D$3*'Resumen Atenuación tomas'!$E137</f>
        <v>0.44999999999999996</v>
      </c>
    </row>
    <row r="138" spans="3:7" hidden="1" x14ac:dyDescent="0.25">
      <c r="D138" s="2" t="s">
        <v>50</v>
      </c>
      <c r="F138" s="3">
        <f>Datos!C$5</f>
        <v>0.8</v>
      </c>
      <c r="G138" s="3">
        <f>Datos!D$5</f>
        <v>0.8</v>
      </c>
    </row>
    <row r="139" spans="3:7" hidden="1" x14ac:dyDescent="0.25">
      <c r="D139" s="2" t="s">
        <v>51</v>
      </c>
      <c r="E139" s="1">
        <f>2.85</f>
        <v>2.85</v>
      </c>
      <c r="F139" s="3">
        <f>Datos!C$3*'Resumen Atenuación tomas'!$E139</f>
        <v>0.34199999999999997</v>
      </c>
      <c r="G139" s="3">
        <f>Datos!D$3*'Resumen Atenuación tomas'!$E139</f>
        <v>0.42749999999999999</v>
      </c>
    </row>
    <row r="140" spans="3:7" hidden="1" x14ac:dyDescent="0.25">
      <c r="D140" s="2" t="s">
        <v>18</v>
      </c>
      <c r="F140" s="3">
        <f>Datos!C$6</f>
        <v>21</v>
      </c>
      <c r="G140" s="3">
        <f>Datos!D$6</f>
        <v>21</v>
      </c>
    </row>
    <row r="141" spans="3:7" hidden="1" x14ac:dyDescent="0.25">
      <c r="D141" s="2" t="s">
        <v>52</v>
      </c>
      <c r="E141" s="1">
        <f>1.12</f>
        <v>1.1200000000000001</v>
      </c>
      <c r="F141" s="3">
        <f>Datos!C$3*'Resumen Atenuación tomas'!$E141</f>
        <v>0.13440000000000002</v>
      </c>
      <c r="G141" s="3">
        <f>Datos!D$3*'Resumen Atenuación tomas'!$E141</f>
        <v>0.16800000000000001</v>
      </c>
    </row>
    <row r="142" spans="3:7" hidden="1" x14ac:dyDescent="0.25">
      <c r="D142" s="2" t="s">
        <v>55</v>
      </c>
      <c r="F142" s="3">
        <f>Datos!C$19</f>
        <v>13</v>
      </c>
      <c r="G142" s="3">
        <f>Datos!D$19</f>
        <v>13</v>
      </c>
    </row>
    <row r="143" spans="3:7" hidden="1" x14ac:dyDescent="0.25">
      <c r="D143" s="2" t="s">
        <v>63</v>
      </c>
      <c r="E143" s="1">
        <f>6.51</f>
        <v>6.51</v>
      </c>
      <c r="F143" s="3">
        <f>Datos!C$3*'Resumen Atenuación tomas'!$E143</f>
        <v>0.78119999999999989</v>
      </c>
      <c r="G143" s="3">
        <f>Datos!D$3*'Resumen Atenuación tomas'!$E143</f>
        <v>0.97649999999999992</v>
      </c>
    </row>
    <row r="144" spans="3:7" hidden="1" x14ac:dyDescent="0.25">
      <c r="D144" s="2" t="s">
        <v>22</v>
      </c>
      <c r="F144" s="3">
        <f>Datos!C$21</f>
        <v>4</v>
      </c>
      <c r="G144" s="3">
        <f>Datos!D$21</f>
        <v>4</v>
      </c>
    </row>
    <row r="145" spans="2:7" x14ac:dyDescent="0.25">
      <c r="D145" s="2" t="s">
        <v>26</v>
      </c>
      <c r="F145" s="3">
        <f>SUM(F137:F144)</f>
        <v>40.417599999999993</v>
      </c>
      <c r="G145" s="3">
        <f>SUM(G137:G144)</f>
        <v>40.822000000000003</v>
      </c>
    </row>
    <row r="146" spans="2:7" x14ac:dyDescent="0.25">
      <c r="B146" s="2" t="s">
        <v>30</v>
      </c>
    </row>
    <row r="147" spans="2:7" x14ac:dyDescent="0.25">
      <c r="C147" s="2" t="s">
        <v>64</v>
      </c>
    </row>
    <row r="148" spans="2:7" hidden="1" x14ac:dyDescent="0.25">
      <c r="D148" s="2" t="s">
        <v>17</v>
      </c>
      <c r="E148" s="1">
        <f>3</f>
        <v>3</v>
      </c>
      <c r="F148" s="3">
        <f>Datos!C$3*'Resumen Atenuación tomas'!$E148</f>
        <v>0.36</v>
      </c>
      <c r="G148" s="3">
        <f>Datos!D$3*'Resumen Atenuación tomas'!$E148</f>
        <v>0.44999999999999996</v>
      </c>
    </row>
    <row r="149" spans="2:7" hidden="1" x14ac:dyDescent="0.25">
      <c r="D149" s="2" t="s">
        <v>50</v>
      </c>
      <c r="F149" s="3">
        <f>Datos!C$5</f>
        <v>0.8</v>
      </c>
      <c r="G149" s="3">
        <f>Datos!D$5</f>
        <v>0.8</v>
      </c>
    </row>
    <row r="150" spans="2:7" hidden="1" x14ac:dyDescent="0.25">
      <c r="D150" s="2" t="s">
        <v>51</v>
      </c>
      <c r="E150" s="1">
        <f>2.85</f>
        <v>2.85</v>
      </c>
      <c r="F150" s="3">
        <f>Datos!C$3*'Resumen Atenuación tomas'!$E150</f>
        <v>0.34199999999999997</v>
      </c>
      <c r="G150" s="3">
        <f>Datos!D$3*'Resumen Atenuación tomas'!$E150</f>
        <v>0.42749999999999999</v>
      </c>
    </row>
    <row r="151" spans="2:7" hidden="1" x14ac:dyDescent="0.25">
      <c r="D151" s="2" t="s">
        <v>18</v>
      </c>
      <c r="F151" s="3">
        <f>Datos!C$6</f>
        <v>21</v>
      </c>
      <c r="G151" s="3">
        <f>Datos!D$6</f>
        <v>21</v>
      </c>
    </row>
    <row r="152" spans="2:7" hidden="1" x14ac:dyDescent="0.25">
      <c r="D152" s="2" t="s">
        <v>65</v>
      </c>
      <c r="E152" s="1">
        <f>4.49</f>
        <v>4.49</v>
      </c>
      <c r="F152" s="3">
        <f>Datos!C$3*'Resumen Atenuación tomas'!$E152</f>
        <v>0.53880000000000006</v>
      </c>
      <c r="G152" s="3">
        <f>Datos!D$3*'Resumen Atenuación tomas'!$E152</f>
        <v>0.67349999999999999</v>
      </c>
    </row>
    <row r="153" spans="2:7" hidden="1" x14ac:dyDescent="0.25">
      <c r="D153" s="2" t="s">
        <v>20</v>
      </c>
      <c r="F153" s="3">
        <f>Datos!C$17</f>
        <v>9</v>
      </c>
      <c r="G153" s="3">
        <f>Datos!D$17</f>
        <v>9</v>
      </c>
    </row>
    <row r="154" spans="2:7" hidden="1" x14ac:dyDescent="0.25">
      <c r="D154" s="2" t="s">
        <v>66</v>
      </c>
      <c r="E154" s="1">
        <f>4.2</f>
        <v>4.2</v>
      </c>
      <c r="F154" s="3">
        <f>Datos!C$3*'Resumen Atenuación tomas'!$E154</f>
        <v>0.504</v>
      </c>
      <c r="G154" s="3">
        <f>Datos!D$3*'Resumen Atenuación tomas'!$E154</f>
        <v>0.63</v>
      </c>
    </row>
    <row r="155" spans="2:7" hidden="1" x14ac:dyDescent="0.25">
      <c r="D155" s="2" t="s">
        <v>22</v>
      </c>
      <c r="F155" s="3">
        <f>Datos!C$21</f>
        <v>4</v>
      </c>
      <c r="G155" s="3">
        <f>Datos!D$21</f>
        <v>4</v>
      </c>
    </row>
    <row r="156" spans="2:7" x14ac:dyDescent="0.25">
      <c r="D156" s="2" t="s">
        <v>26</v>
      </c>
      <c r="F156" s="4">
        <f>SUM(F148:F155)</f>
        <v>36.544799999999995</v>
      </c>
      <c r="G156" s="3">
        <f>SUM(G148:G155)</f>
        <v>36.981000000000002</v>
      </c>
    </row>
    <row r="157" spans="2:7" x14ac:dyDescent="0.25">
      <c r="C157" s="2" t="s">
        <v>67</v>
      </c>
    </row>
    <row r="158" spans="2:7" hidden="1" x14ac:dyDescent="0.25">
      <c r="D158" s="2" t="s">
        <v>17</v>
      </c>
      <c r="E158" s="1">
        <f>3</f>
        <v>3</v>
      </c>
      <c r="F158" s="3">
        <f>Datos!C$3*'Resumen Atenuación tomas'!$E158</f>
        <v>0.36</v>
      </c>
      <c r="G158" s="3">
        <f>Datos!D$3*'Resumen Atenuación tomas'!$E158</f>
        <v>0.44999999999999996</v>
      </c>
    </row>
    <row r="159" spans="2:7" hidden="1" x14ac:dyDescent="0.25">
      <c r="D159" s="2" t="s">
        <v>50</v>
      </c>
      <c r="F159" s="3">
        <f>Datos!C$5</f>
        <v>0.8</v>
      </c>
      <c r="G159" s="3">
        <f>Datos!D$5</f>
        <v>0.8</v>
      </c>
    </row>
    <row r="160" spans="2:7" hidden="1" x14ac:dyDescent="0.25">
      <c r="D160" s="2" t="s">
        <v>51</v>
      </c>
      <c r="E160" s="1">
        <f>2.85</f>
        <v>2.85</v>
      </c>
      <c r="F160" s="3">
        <f>Datos!C$3*'Resumen Atenuación tomas'!$E160</f>
        <v>0.34199999999999997</v>
      </c>
      <c r="G160" s="3">
        <f>Datos!D$3*'Resumen Atenuación tomas'!$E160</f>
        <v>0.42749999999999999</v>
      </c>
    </row>
    <row r="161" spans="3:7" hidden="1" x14ac:dyDescent="0.25">
      <c r="D161" s="2" t="s">
        <v>18</v>
      </c>
      <c r="F161" s="3">
        <f>Datos!C$6</f>
        <v>21</v>
      </c>
      <c r="G161" s="3">
        <f>Datos!D$6</f>
        <v>21</v>
      </c>
    </row>
    <row r="162" spans="3:7" hidden="1" x14ac:dyDescent="0.25">
      <c r="D162" s="2" t="s">
        <v>65</v>
      </c>
      <c r="E162" s="1">
        <f>4.49</f>
        <v>4.49</v>
      </c>
      <c r="F162" s="3">
        <f>Datos!C$3*'Resumen Atenuación tomas'!$E162</f>
        <v>0.53880000000000006</v>
      </c>
      <c r="G162" s="3">
        <f>Datos!D$3*'Resumen Atenuación tomas'!$E162</f>
        <v>0.67349999999999999</v>
      </c>
    </row>
    <row r="163" spans="3:7" hidden="1" x14ac:dyDescent="0.25">
      <c r="D163" s="2" t="s">
        <v>20</v>
      </c>
      <c r="F163" s="3">
        <f>Datos!C$17</f>
        <v>9</v>
      </c>
      <c r="G163" s="3">
        <f>Datos!D$17</f>
        <v>9</v>
      </c>
    </row>
    <row r="164" spans="3:7" hidden="1" x14ac:dyDescent="0.25">
      <c r="D164" s="2" t="s">
        <v>72</v>
      </c>
      <c r="E164" s="1">
        <f>4.9</f>
        <v>4.9000000000000004</v>
      </c>
      <c r="F164" s="3">
        <f>Datos!C$3*'Resumen Atenuación tomas'!$E164</f>
        <v>0.58799999999999997</v>
      </c>
      <c r="G164" s="3">
        <f>Datos!D$3*'Resumen Atenuación tomas'!$E164</f>
        <v>0.73499999999999999</v>
      </c>
    </row>
    <row r="165" spans="3:7" hidden="1" x14ac:dyDescent="0.25">
      <c r="D165" s="2" t="s">
        <v>22</v>
      </c>
      <c r="F165" s="3">
        <f>Datos!C$21</f>
        <v>4</v>
      </c>
      <c r="G165" s="3">
        <f>Datos!D$21</f>
        <v>4</v>
      </c>
    </row>
    <row r="166" spans="3:7" x14ac:dyDescent="0.25">
      <c r="D166" s="2" t="s">
        <v>26</v>
      </c>
      <c r="F166" s="3">
        <f>SUM(F158:F165)</f>
        <v>36.628799999999998</v>
      </c>
      <c r="G166" s="3">
        <f>SUM(G158:G165)</f>
        <v>37.085999999999999</v>
      </c>
    </row>
    <row r="167" spans="3:7" x14ac:dyDescent="0.25">
      <c r="C167" s="2" t="s">
        <v>68</v>
      </c>
    </row>
    <row r="168" spans="3:7" hidden="1" x14ac:dyDescent="0.25">
      <c r="D168" s="2" t="s">
        <v>17</v>
      </c>
      <c r="E168" s="1">
        <f>3</f>
        <v>3</v>
      </c>
      <c r="F168" s="3">
        <f>Datos!C$3*'Resumen Atenuación tomas'!$E168</f>
        <v>0.36</v>
      </c>
      <c r="G168" s="3">
        <f>Datos!D$3*'Resumen Atenuación tomas'!$E168</f>
        <v>0.44999999999999996</v>
      </c>
    </row>
    <row r="169" spans="3:7" hidden="1" x14ac:dyDescent="0.25">
      <c r="D169" s="2" t="s">
        <v>50</v>
      </c>
      <c r="F169" s="3">
        <f>Datos!C$5</f>
        <v>0.8</v>
      </c>
      <c r="G169" s="3">
        <f>Datos!D$5</f>
        <v>0.8</v>
      </c>
    </row>
    <row r="170" spans="3:7" hidden="1" x14ac:dyDescent="0.25">
      <c r="D170" s="2" t="s">
        <v>51</v>
      </c>
      <c r="E170" s="1">
        <f>2.85</f>
        <v>2.85</v>
      </c>
      <c r="F170" s="3">
        <f>Datos!C$3*'Resumen Atenuación tomas'!$E170</f>
        <v>0.34199999999999997</v>
      </c>
      <c r="G170" s="3">
        <f>Datos!D$3*'Resumen Atenuación tomas'!$E170</f>
        <v>0.42749999999999999</v>
      </c>
    </row>
    <row r="171" spans="3:7" hidden="1" x14ac:dyDescent="0.25">
      <c r="D171" s="2" t="s">
        <v>18</v>
      </c>
      <c r="F171" s="3">
        <f>Datos!C$6</f>
        <v>21</v>
      </c>
      <c r="G171" s="3">
        <f>Datos!D$6</f>
        <v>21</v>
      </c>
    </row>
    <row r="172" spans="3:7" hidden="1" x14ac:dyDescent="0.25">
      <c r="D172" s="2" t="s">
        <v>65</v>
      </c>
      <c r="E172" s="1">
        <f>4.49</f>
        <v>4.49</v>
      </c>
      <c r="F172" s="3">
        <f>Datos!C$3*'Resumen Atenuación tomas'!$E172</f>
        <v>0.53880000000000006</v>
      </c>
      <c r="G172" s="3">
        <f>Datos!D$3*'Resumen Atenuación tomas'!$E172</f>
        <v>0.67349999999999999</v>
      </c>
    </row>
    <row r="173" spans="3:7" hidden="1" x14ac:dyDescent="0.25">
      <c r="D173" s="2" t="s">
        <v>20</v>
      </c>
      <c r="F173" s="3">
        <f>Datos!C$17</f>
        <v>9</v>
      </c>
      <c r="G173" s="3">
        <f>Datos!D$17</f>
        <v>9</v>
      </c>
    </row>
    <row r="174" spans="3:7" hidden="1" x14ac:dyDescent="0.25">
      <c r="D174" s="2" t="s">
        <v>71</v>
      </c>
      <c r="E174" s="1">
        <f>9.49</f>
        <v>9.49</v>
      </c>
      <c r="F174" s="3">
        <f>Datos!C$3*'Resumen Atenuación tomas'!$E174</f>
        <v>1.1388</v>
      </c>
      <c r="G174" s="3">
        <f>Datos!D$3*'Resumen Atenuación tomas'!$E174</f>
        <v>1.4235</v>
      </c>
    </row>
    <row r="175" spans="3:7" hidden="1" x14ac:dyDescent="0.25">
      <c r="D175" s="2" t="s">
        <v>22</v>
      </c>
      <c r="F175" s="3">
        <f>Datos!C$21</f>
        <v>4</v>
      </c>
      <c r="G175" s="3">
        <f>Datos!D$21</f>
        <v>4</v>
      </c>
    </row>
    <row r="176" spans="3:7" x14ac:dyDescent="0.25">
      <c r="D176" s="2" t="s">
        <v>26</v>
      </c>
      <c r="F176" s="3">
        <f>SUM(F168:F175)</f>
        <v>37.179600000000001</v>
      </c>
      <c r="G176" s="3">
        <f>SUM(G168:G175)</f>
        <v>37.774499999999996</v>
      </c>
    </row>
    <row r="177" spans="2:7" x14ac:dyDescent="0.25">
      <c r="C177" s="2" t="s">
        <v>69</v>
      </c>
    </row>
    <row r="178" spans="2:7" hidden="1" x14ac:dyDescent="0.25">
      <c r="D178" s="2" t="s">
        <v>17</v>
      </c>
      <c r="E178" s="1">
        <f>3</f>
        <v>3</v>
      </c>
      <c r="F178" s="3">
        <f>Datos!C$3*'Resumen Atenuación tomas'!$E178</f>
        <v>0.36</v>
      </c>
      <c r="G178" s="3">
        <f>Datos!D$3*'Resumen Atenuación tomas'!$E178</f>
        <v>0.44999999999999996</v>
      </c>
    </row>
    <row r="179" spans="2:7" hidden="1" x14ac:dyDescent="0.25">
      <c r="D179" s="2" t="s">
        <v>50</v>
      </c>
      <c r="F179" s="3">
        <f>Datos!C$5</f>
        <v>0.8</v>
      </c>
      <c r="G179" s="3">
        <f>Datos!D$5</f>
        <v>0.8</v>
      </c>
    </row>
    <row r="180" spans="2:7" hidden="1" x14ac:dyDescent="0.25">
      <c r="D180" s="2" t="s">
        <v>51</v>
      </c>
      <c r="E180" s="1">
        <f>2.85</f>
        <v>2.85</v>
      </c>
      <c r="F180" s="3">
        <f>Datos!C$3*'Resumen Atenuación tomas'!$E180</f>
        <v>0.34199999999999997</v>
      </c>
      <c r="G180" s="3">
        <f>Datos!D$3*'Resumen Atenuación tomas'!$E180</f>
        <v>0.42749999999999999</v>
      </c>
    </row>
    <row r="181" spans="2:7" hidden="1" x14ac:dyDescent="0.25">
      <c r="D181" s="2" t="s">
        <v>18</v>
      </c>
      <c r="F181" s="3">
        <f>Datos!C$6</f>
        <v>21</v>
      </c>
      <c r="G181" s="3">
        <f>Datos!D$6</f>
        <v>21</v>
      </c>
    </row>
    <row r="182" spans="2:7" hidden="1" x14ac:dyDescent="0.25">
      <c r="D182" s="2" t="s">
        <v>65</v>
      </c>
      <c r="E182" s="1">
        <f>4.49</f>
        <v>4.49</v>
      </c>
      <c r="F182" s="3">
        <f>Datos!C$3*'Resumen Atenuación tomas'!$E182</f>
        <v>0.53880000000000006</v>
      </c>
      <c r="G182" s="3">
        <f>Datos!D$3*'Resumen Atenuación tomas'!$E182</f>
        <v>0.67349999999999999</v>
      </c>
    </row>
    <row r="183" spans="2:7" hidden="1" x14ac:dyDescent="0.25">
      <c r="D183" s="2" t="s">
        <v>20</v>
      </c>
      <c r="F183" s="3">
        <f>Datos!C$17</f>
        <v>9</v>
      </c>
      <c r="G183" s="3">
        <f>Datos!D$17</f>
        <v>9</v>
      </c>
    </row>
    <row r="184" spans="2:7" hidden="1" x14ac:dyDescent="0.25">
      <c r="D184" s="2" t="s">
        <v>70</v>
      </c>
      <c r="E184" s="1">
        <f>9.7</f>
        <v>9.6999999999999993</v>
      </c>
      <c r="F184" s="3">
        <f>Datos!C$3*'Resumen Atenuación tomas'!$E184</f>
        <v>1.1639999999999999</v>
      </c>
      <c r="G184" s="3">
        <f>Datos!D$3*'Resumen Atenuación tomas'!$E184</f>
        <v>1.4549999999999998</v>
      </c>
    </row>
    <row r="185" spans="2:7" hidden="1" x14ac:dyDescent="0.25">
      <c r="D185" s="2" t="s">
        <v>22</v>
      </c>
      <c r="F185" s="3">
        <f>Datos!C$21</f>
        <v>4</v>
      </c>
      <c r="G185" s="3">
        <f>Datos!D$21</f>
        <v>4</v>
      </c>
    </row>
    <row r="186" spans="2:7" x14ac:dyDescent="0.25">
      <c r="D186" s="2" t="s">
        <v>26</v>
      </c>
      <c r="F186" s="3">
        <f>SUM(F178:F185)</f>
        <v>37.204799999999999</v>
      </c>
      <c r="G186" s="3">
        <f>SUM(G178:G185)</f>
        <v>37.805999999999997</v>
      </c>
    </row>
    <row r="187" spans="2:7" x14ac:dyDescent="0.25">
      <c r="B187" s="2" t="s">
        <v>38</v>
      </c>
    </row>
    <row r="188" spans="2:7" x14ac:dyDescent="0.25">
      <c r="C188" s="2" t="s">
        <v>73</v>
      </c>
    </row>
    <row r="189" spans="2:7" hidden="1" x14ac:dyDescent="0.25">
      <c r="D189" s="2" t="s">
        <v>17</v>
      </c>
      <c r="E189" s="1">
        <f>3</f>
        <v>3</v>
      </c>
      <c r="F189" s="3">
        <f>Datos!C$3*'Resumen Atenuación tomas'!$E189</f>
        <v>0.36</v>
      </c>
      <c r="G189" s="3">
        <f>Datos!D$3*'Resumen Atenuación tomas'!$E189</f>
        <v>0.44999999999999996</v>
      </c>
    </row>
    <row r="190" spans="2:7" hidden="1" x14ac:dyDescent="0.25">
      <c r="D190" s="2" t="s">
        <v>50</v>
      </c>
      <c r="F190" s="3">
        <f>Datos!C$5</f>
        <v>0.8</v>
      </c>
      <c r="G190" s="3">
        <f>Datos!D$5</f>
        <v>0.8</v>
      </c>
    </row>
    <row r="191" spans="2:7" hidden="1" x14ac:dyDescent="0.25">
      <c r="D191" s="2" t="s">
        <v>51</v>
      </c>
      <c r="E191" s="1">
        <f>2.85</f>
        <v>2.85</v>
      </c>
      <c r="F191" s="3">
        <f>Datos!C$3*'Resumen Atenuación tomas'!$E191</f>
        <v>0.34199999999999997</v>
      </c>
      <c r="G191" s="3">
        <f>Datos!D$3*'Resumen Atenuación tomas'!$E191</f>
        <v>0.42749999999999999</v>
      </c>
    </row>
    <row r="192" spans="2:7" hidden="1" x14ac:dyDescent="0.25">
      <c r="D192" s="2" t="s">
        <v>18</v>
      </c>
      <c r="F192" s="3">
        <f>Datos!C$6</f>
        <v>21</v>
      </c>
      <c r="G192" s="3">
        <f>Datos!D$6</f>
        <v>21</v>
      </c>
    </row>
    <row r="193" spans="3:7" hidden="1" x14ac:dyDescent="0.25">
      <c r="D193" s="2" t="s">
        <v>74</v>
      </c>
      <c r="E193" s="1">
        <f>4.84</f>
        <v>4.84</v>
      </c>
      <c r="F193" s="3">
        <f>Datos!C$3*'Resumen Atenuación tomas'!$E193</f>
        <v>0.58079999999999998</v>
      </c>
      <c r="G193" s="3">
        <f>Datos!D$3*'Resumen Atenuación tomas'!$E193</f>
        <v>0.72599999999999998</v>
      </c>
    </row>
    <row r="194" spans="3:7" hidden="1" x14ac:dyDescent="0.25">
      <c r="D194" s="2" t="s">
        <v>55</v>
      </c>
      <c r="F194" s="3">
        <f>Datos!C$19</f>
        <v>13</v>
      </c>
      <c r="G194" s="3">
        <f>Datos!D$19</f>
        <v>13</v>
      </c>
    </row>
    <row r="195" spans="3:7" hidden="1" x14ac:dyDescent="0.25">
      <c r="D195" s="2" t="s">
        <v>75</v>
      </c>
      <c r="E195" s="1">
        <f>9.03</f>
        <v>9.0299999999999994</v>
      </c>
      <c r="F195" s="3">
        <f>Datos!C$3*'Resumen Atenuación tomas'!$E195</f>
        <v>1.0835999999999999</v>
      </c>
      <c r="G195" s="3">
        <f>Datos!D$3*'Resumen Atenuación tomas'!$E195</f>
        <v>1.3544999999999998</v>
      </c>
    </row>
    <row r="196" spans="3:7" hidden="1" x14ac:dyDescent="0.25">
      <c r="D196" s="2" t="s">
        <v>22</v>
      </c>
      <c r="F196" s="3">
        <f>Datos!C$21</f>
        <v>4</v>
      </c>
      <c r="G196" s="3">
        <f>Datos!D$21</f>
        <v>4</v>
      </c>
    </row>
    <row r="197" spans="3:7" x14ac:dyDescent="0.25">
      <c r="D197" s="2" t="s">
        <v>26</v>
      </c>
      <c r="F197" s="3">
        <f>SUM(F189:F196)</f>
        <v>41.166399999999996</v>
      </c>
      <c r="G197" s="3">
        <f>SUM(G189:G196)</f>
        <v>41.757999999999996</v>
      </c>
    </row>
    <row r="198" spans="3:7" x14ac:dyDescent="0.25">
      <c r="C198" s="2" t="s">
        <v>76</v>
      </c>
    </row>
    <row r="199" spans="3:7" hidden="1" x14ac:dyDescent="0.25">
      <c r="D199" s="2" t="s">
        <v>17</v>
      </c>
      <c r="E199" s="1">
        <f>3</f>
        <v>3</v>
      </c>
      <c r="F199" s="3">
        <f>Datos!C$3*'Resumen Atenuación tomas'!$E199</f>
        <v>0.36</v>
      </c>
      <c r="G199" s="3">
        <f>Datos!D$3*'Resumen Atenuación tomas'!$E199</f>
        <v>0.44999999999999996</v>
      </c>
    </row>
    <row r="200" spans="3:7" hidden="1" x14ac:dyDescent="0.25">
      <c r="D200" s="2" t="s">
        <v>50</v>
      </c>
      <c r="F200" s="3">
        <f>Datos!C$5</f>
        <v>0.8</v>
      </c>
      <c r="G200" s="3">
        <f>Datos!D$5</f>
        <v>0.8</v>
      </c>
    </row>
    <row r="201" spans="3:7" hidden="1" x14ac:dyDescent="0.25">
      <c r="D201" s="2" t="s">
        <v>51</v>
      </c>
      <c r="E201" s="1">
        <f>2.85</f>
        <v>2.85</v>
      </c>
      <c r="F201" s="3">
        <f>Datos!C$3*'Resumen Atenuación tomas'!$E201</f>
        <v>0.34199999999999997</v>
      </c>
      <c r="G201" s="3">
        <f>Datos!D$3*'Resumen Atenuación tomas'!$E201</f>
        <v>0.42749999999999999</v>
      </c>
    </row>
    <row r="202" spans="3:7" hidden="1" x14ac:dyDescent="0.25">
      <c r="D202" s="2" t="s">
        <v>18</v>
      </c>
      <c r="F202" s="3">
        <f>Datos!C$6</f>
        <v>21</v>
      </c>
      <c r="G202" s="3">
        <f>Datos!D$6</f>
        <v>21</v>
      </c>
    </row>
    <row r="203" spans="3:7" hidden="1" x14ac:dyDescent="0.25">
      <c r="D203" s="2" t="s">
        <v>74</v>
      </c>
      <c r="E203" s="1">
        <f>4.84</f>
        <v>4.84</v>
      </c>
      <c r="F203" s="3">
        <f>Datos!C$3*'Resumen Atenuación tomas'!$E203</f>
        <v>0.58079999999999998</v>
      </c>
      <c r="G203" s="3">
        <f>Datos!D$3*'Resumen Atenuación tomas'!$E203</f>
        <v>0.72599999999999998</v>
      </c>
    </row>
    <row r="204" spans="3:7" hidden="1" x14ac:dyDescent="0.25">
      <c r="D204" s="2" t="s">
        <v>55</v>
      </c>
      <c r="F204" s="3">
        <f>Datos!C$19</f>
        <v>13</v>
      </c>
      <c r="G204" s="3">
        <f>Datos!D$19</f>
        <v>13</v>
      </c>
    </row>
    <row r="205" spans="3:7" hidden="1" x14ac:dyDescent="0.25">
      <c r="D205" s="2" t="s">
        <v>80</v>
      </c>
      <c r="E205" s="1">
        <f>4.31</f>
        <v>4.3099999999999996</v>
      </c>
      <c r="F205" s="3">
        <f>Datos!C$3*'Resumen Atenuación tomas'!$E205</f>
        <v>0.51719999999999988</v>
      </c>
      <c r="G205" s="3">
        <f>Datos!D$3*'Resumen Atenuación tomas'!$E205</f>
        <v>0.64649999999999996</v>
      </c>
    </row>
    <row r="206" spans="3:7" hidden="1" x14ac:dyDescent="0.25">
      <c r="D206" s="2" t="s">
        <v>22</v>
      </c>
      <c r="F206" s="3">
        <f>Datos!C$21</f>
        <v>4</v>
      </c>
      <c r="G206" s="3">
        <f>Datos!D$21</f>
        <v>4</v>
      </c>
    </row>
    <row r="207" spans="3:7" x14ac:dyDescent="0.25">
      <c r="D207" s="2" t="s">
        <v>26</v>
      </c>
      <c r="F207" s="3">
        <f>SUM(F199:F206)</f>
        <v>40.6</v>
      </c>
      <c r="G207" s="3">
        <f>SUM(G199:G206)</f>
        <v>41.05</v>
      </c>
    </row>
    <row r="208" spans="3:7" x14ac:dyDescent="0.25">
      <c r="C208" s="2" t="s">
        <v>77</v>
      </c>
    </row>
    <row r="209" spans="3:7" hidden="1" x14ac:dyDescent="0.25">
      <c r="D209" s="2" t="s">
        <v>17</v>
      </c>
      <c r="E209" s="1">
        <f>3</f>
        <v>3</v>
      </c>
      <c r="F209" s="3">
        <f>Datos!C$3*'Resumen Atenuación tomas'!$E209</f>
        <v>0.36</v>
      </c>
      <c r="G209" s="3">
        <f>Datos!D$3*'Resumen Atenuación tomas'!$E209</f>
        <v>0.44999999999999996</v>
      </c>
    </row>
    <row r="210" spans="3:7" hidden="1" x14ac:dyDescent="0.25">
      <c r="D210" s="2" t="s">
        <v>50</v>
      </c>
      <c r="F210" s="3">
        <f>Datos!C$5</f>
        <v>0.8</v>
      </c>
      <c r="G210" s="3">
        <f>Datos!D$5</f>
        <v>0.8</v>
      </c>
    </row>
    <row r="211" spans="3:7" hidden="1" x14ac:dyDescent="0.25">
      <c r="D211" s="2" t="s">
        <v>51</v>
      </c>
      <c r="E211" s="1">
        <f>2.85</f>
        <v>2.85</v>
      </c>
      <c r="F211" s="3">
        <f>Datos!C$3*'Resumen Atenuación tomas'!$E211</f>
        <v>0.34199999999999997</v>
      </c>
      <c r="G211" s="3">
        <f>Datos!D$3*'Resumen Atenuación tomas'!$E211</f>
        <v>0.42749999999999999</v>
      </c>
    </row>
    <row r="212" spans="3:7" hidden="1" x14ac:dyDescent="0.25">
      <c r="D212" s="2" t="s">
        <v>18</v>
      </c>
      <c r="F212" s="3">
        <f>Datos!C$6</f>
        <v>21</v>
      </c>
      <c r="G212" s="3">
        <f>Datos!D$6</f>
        <v>21</v>
      </c>
    </row>
    <row r="213" spans="3:7" hidden="1" x14ac:dyDescent="0.25">
      <c r="D213" s="2" t="s">
        <v>74</v>
      </c>
      <c r="E213" s="1">
        <f>4.84</f>
        <v>4.84</v>
      </c>
      <c r="F213" s="3">
        <f>Datos!C$3*'Resumen Atenuación tomas'!$E213</f>
        <v>0.58079999999999998</v>
      </c>
      <c r="G213" s="3">
        <f>Datos!D$3*'Resumen Atenuación tomas'!$E213</f>
        <v>0.72599999999999998</v>
      </c>
    </row>
    <row r="214" spans="3:7" hidden="1" x14ac:dyDescent="0.25">
      <c r="D214" s="2" t="s">
        <v>55</v>
      </c>
      <c r="F214" s="3">
        <f>Datos!C$19</f>
        <v>13</v>
      </c>
      <c r="G214" s="3">
        <f>Datos!D$19</f>
        <v>13</v>
      </c>
    </row>
    <row r="215" spans="3:7" hidden="1" x14ac:dyDescent="0.25">
      <c r="D215" s="2" t="s">
        <v>81</v>
      </c>
      <c r="E215" s="1">
        <f>7.35</f>
        <v>7.35</v>
      </c>
      <c r="F215" s="3">
        <f>Datos!C$3*'Resumen Atenuación tomas'!$E215</f>
        <v>0.8819999999999999</v>
      </c>
      <c r="G215" s="3">
        <f>Datos!D$3*'Resumen Atenuación tomas'!$E215</f>
        <v>1.1024999999999998</v>
      </c>
    </row>
    <row r="216" spans="3:7" hidden="1" x14ac:dyDescent="0.25">
      <c r="D216" s="2" t="s">
        <v>22</v>
      </c>
      <c r="F216" s="3">
        <f>Datos!C$21</f>
        <v>4</v>
      </c>
      <c r="G216" s="3">
        <f>Datos!D$21</f>
        <v>4</v>
      </c>
    </row>
    <row r="217" spans="3:7" x14ac:dyDescent="0.25">
      <c r="D217" s="2" t="s">
        <v>26</v>
      </c>
      <c r="F217" s="3">
        <f>SUM(F209:F216)</f>
        <v>40.964799999999997</v>
      </c>
      <c r="G217" s="3">
        <f>SUM(G209:G216)</f>
        <v>41.505999999999993</v>
      </c>
    </row>
    <row r="218" spans="3:7" x14ac:dyDescent="0.25">
      <c r="C218" s="2" t="s">
        <v>78</v>
      </c>
    </row>
    <row r="219" spans="3:7" hidden="1" x14ac:dyDescent="0.25">
      <c r="D219" s="2" t="s">
        <v>17</v>
      </c>
      <c r="E219" s="1">
        <f>3</f>
        <v>3</v>
      </c>
      <c r="F219" s="3">
        <f>Datos!C$3*'Resumen Atenuación tomas'!$E219</f>
        <v>0.36</v>
      </c>
      <c r="G219" s="3">
        <f>Datos!D$3*'Resumen Atenuación tomas'!$E219</f>
        <v>0.44999999999999996</v>
      </c>
    </row>
    <row r="220" spans="3:7" hidden="1" x14ac:dyDescent="0.25">
      <c r="D220" s="2" t="s">
        <v>50</v>
      </c>
      <c r="F220" s="3">
        <f>Datos!C$5</f>
        <v>0.8</v>
      </c>
      <c r="G220" s="3">
        <f>Datos!D$5</f>
        <v>0.8</v>
      </c>
    </row>
    <row r="221" spans="3:7" hidden="1" x14ac:dyDescent="0.25">
      <c r="D221" s="2" t="s">
        <v>51</v>
      </c>
      <c r="E221" s="1">
        <f>2.85</f>
        <v>2.85</v>
      </c>
      <c r="F221" s="3">
        <f>Datos!C$3*'Resumen Atenuación tomas'!$E221</f>
        <v>0.34199999999999997</v>
      </c>
      <c r="G221" s="3">
        <f>Datos!D$3*'Resumen Atenuación tomas'!$E221</f>
        <v>0.42749999999999999</v>
      </c>
    </row>
    <row r="222" spans="3:7" hidden="1" x14ac:dyDescent="0.25">
      <c r="D222" s="2" t="s">
        <v>18</v>
      </c>
      <c r="F222" s="3">
        <f>Datos!C$6</f>
        <v>21</v>
      </c>
      <c r="G222" s="3">
        <f>Datos!D$6</f>
        <v>21</v>
      </c>
    </row>
    <row r="223" spans="3:7" hidden="1" x14ac:dyDescent="0.25">
      <c r="D223" s="2" t="s">
        <v>74</v>
      </c>
      <c r="E223" s="1">
        <f>4.84</f>
        <v>4.84</v>
      </c>
      <c r="F223" s="3">
        <f>Datos!C$3*'Resumen Atenuación tomas'!$E223</f>
        <v>0.58079999999999998</v>
      </c>
      <c r="G223" s="3">
        <f>Datos!D$3*'Resumen Atenuación tomas'!$E223</f>
        <v>0.72599999999999998</v>
      </c>
    </row>
    <row r="224" spans="3:7" hidden="1" x14ac:dyDescent="0.25">
      <c r="D224" s="2" t="s">
        <v>55</v>
      </c>
      <c r="F224" s="3">
        <f>Datos!C$19</f>
        <v>13</v>
      </c>
      <c r="G224" s="3">
        <f>Datos!D$19</f>
        <v>13</v>
      </c>
    </row>
    <row r="225" spans="1:7" hidden="1" x14ac:dyDescent="0.25">
      <c r="D225" s="2" t="s">
        <v>82</v>
      </c>
      <c r="E225" s="1">
        <f>8.51</f>
        <v>8.51</v>
      </c>
      <c r="F225" s="3">
        <f>Datos!C$3*'Resumen Atenuación tomas'!$E225</f>
        <v>1.0211999999999999</v>
      </c>
      <c r="G225" s="3">
        <f>Datos!D$3*'Resumen Atenuación tomas'!$E225</f>
        <v>1.2765</v>
      </c>
    </row>
    <row r="226" spans="1:7" hidden="1" x14ac:dyDescent="0.25">
      <c r="D226" s="2" t="s">
        <v>22</v>
      </c>
      <c r="F226" s="3">
        <f>Datos!C$21</f>
        <v>4</v>
      </c>
      <c r="G226" s="3">
        <f>Datos!D$21</f>
        <v>4</v>
      </c>
    </row>
    <row r="227" spans="1:7" x14ac:dyDescent="0.25">
      <c r="D227" s="2" t="s">
        <v>26</v>
      </c>
      <c r="F227" s="3">
        <f>SUM(F219:F226)</f>
        <v>41.103999999999999</v>
      </c>
      <c r="G227" s="3">
        <f>SUM(G219:G226)</f>
        <v>41.679999999999993</v>
      </c>
    </row>
    <row r="228" spans="1:7" x14ac:dyDescent="0.25">
      <c r="C228" s="2" t="s">
        <v>79</v>
      </c>
    </row>
    <row r="229" spans="1:7" hidden="1" x14ac:dyDescent="0.25">
      <c r="D229" s="2" t="s">
        <v>17</v>
      </c>
      <c r="E229" s="1">
        <f>3</f>
        <v>3</v>
      </c>
      <c r="F229" s="3">
        <f>Datos!C$3*'Resumen Atenuación tomas'!$E229</f>
        <v>0.36</v>
      </c>
      <c r="G229" s="3">
        <f>Datos!D$3*'Resumen Atenuación tomas'!$E229</f>
        <v>0.44999999999999996</v>
      </c>
    </row>
    <row r="230" spans="1:7" hidden="1" x14ac:dyDescent="0.25">
      <c r="D230" s="2" t="s">
        <v>50</v>
      </c>
      <c r="F230" s="3">
        <f>Datos!C$5</f>
        <v>0.8</v>
      </c>
      <c r="G230" s="3">
        <f>Datos!D$5</f>
        <v>0.8</v>
      </c>
    </row>
    <row r="231" spans="1:7" hidden="1" x14ac:dyDescent="0.25">
      <c r="D231" s="2" t="s">
        <v>51</v>
      </c>
      <c r="E231" s="1">
        <f>2.85</f>
        <v>2.85</v>
      </c>
      <c r="F231" s="3">
        <f>Datos!C$3*'Resumen Atenuación tomas'!$E231</f>
        <v>0.34199999999999997</v>
      </c>
      <c r="G231" s="3">
        <f>Datos!D$3*'Resumen Atenuación tomas'!$E231</f>
        <v>0.42749999999999999</v>
      </c>
    </row>
    <row r="232" spans="1:7" hidden="1" x14ac:dyDescent="0.25">
      <c r="D232" s="2" t="s">
        <v>18</v>
      </c>
      <c r="F232" s="3">
        <f>Datos!C$6</f>
        <v>21</v>
      </c>
      <c r="G232" s="3">
        <f>Datos!D$6</f>
        <v>21</v>
      </c>
    </row>
    <row r="233" spans="1:7" hidden="1" x14ac:dyDescent="0.25">
      <c r="D233" s="2" t="s">
        <v>74</v>
      </c>
      <c r="E233" s="1">
        <f>4.84</f>
        <v>4.84</v>
      </c>
      <c r="F233" s="3">
        <f>Datos!C$3*'Resumen Atenuación tomas'!$E233</f>
        <v>0.58079999999999998</v>
      </c>
      <c r="G233" s="3">
        <f>Datos!D$3*'Resumen Atenuación tomas'!$E233</f>
        <v>0.72599999999999998</v>
      </c>
    </row>
    <row r="234" spans="1:7" hidden="1" x14ac:dyDescent="0.25">
      <c r="D234" s="2" t="s">
        <v>55</v>
      </c>
      <c r="F234" s="3">
        <f>Datos!C$19</f>
        <v>13</v>
      </c>
      <c r="G234" s="3">
        <f>Datos!D$19</f>
        <v>13</v>
      </c>
    </row>
    <row r="235" spans="1:7" hidden="1" x14ac:dyDescent="0.25">
      <c r="D235" s="2" t="s">
        <v>83</v>
      </c>
      <c r="E235" s="1">
        <f>10.12</f>
        <v>10.119999999999999</v>
      </c>
      <c r="F235" s="3">
        <f>Datos!C$3*'Resumen Atenuación tomas'!$E235</f>
        <v>1.2143999999999999</v>
      </c>
      <c r="G235" s="3">
        <f>Datos!D$3*'Resumen Atenuación tomas'!$E235</f>
        <v>1.5179999999999998</v>
      </c>
    </row>
    <row r="236" spans="1:7" hidden="1" x14ac:dyDescent="0.25">
      <c r="D236" s="2" t="s">
        <v>22</v>
      </c>
      <c r="F236" s="3">
        <f>Datos!C$21</f>
        <v>4</v>
      </c>
      <c r="G236" s="3">
        <f>Datos!D$21</f>
        <v>4</v>
      </c>
    </row>
    <row r="237" spans="1:7" x14ac:dyDescent="0.25">
      <c r="D237" s="2" t="s">
        <v>26</v>
      </c>
      <c r="F237" s="3">
        <f>SUM(F229:F236)</f>
        <v>41.297199999999997</v>
      </c>
      <c r="G237" s="3">
        <f>SUM(G229:G236)</f>
        <v>41.921499999999995</v>
      </c>
    </row>
    <row r="238" spans="1:7" x14ac:dyDescent="0.25">
      <c r="A238" s="2" t="s">
        <v>84</v>
      </c>
    </row>
    <row r="239" spans="1:7" x14ac:dyDescent="0.25">
      <c r="B239" s="2" t="s">
        <v>14</v>
      </c>
    </row>
    <row r="240" spans="1:7" x14ac:dyDescent="0.25">
      <c r="C240" s="2" t="s">
        <v>85</v>
      </c>
    </row>
    <row r="241" spans="3:7" hidden="1" x14ac:dyDescent="0.25">
      <c r="D241" s="2" t="s">
        <v>17</v>
      </c>
      <c r="E241" s="1">
        <f>3</f>
        <v>3</v>
      </c>
      <c r="F241" s="3">
        <f>Datos!C$3*'Resumen Atenuación tomas'!$E241</f>
        <v>0.36</v>
      </c>
      <c r="G241" s="3">
        <f>Datos!D$3*'Resumen Atenuación tomas'!$E241</f>
        <v>0.44999999999999996</v>
      </c>
    </row>
    <row r="242" spans="3:7" hidden="1" x14ac:dyDescent="0.25">
      <c r="D242" s="2" t="s">
        <v>50</v>
      </c>
      <c r="F242" s="3">
        <f>Datos!C$5</f>
        <v>0.8</v>
      </c>
      <c r="G242" s="3">
        <f>Datos!D$5</f>
        <v>0.8</v>
      </c>
    </row>
    <row r="243" spans="3:7" hidden="1" x14ac:dyDescent="0.25">
      <c r="D243" s="2" t="s">
        <v>51</v>
      </c>
      <c r="E243" s="1">
        <f>2.85</f>
        <v>2.85</v>
      </c>
      <c r="F243" s="3">
        <f>Datos!C$3*'Resumen Atenuación tomas'!$E243</f>
        <v>0.34199999999999997</v>
      </c>
      <c r="G243" s="3">
        <f>Datos!D$3*'Resumen Atenuación tomas'!$E243</f>
        <v>0.42749999999999999</v>
      </c>
    </row>
    <row r="244" spans="3:7" hidden="1" x14ac:dyDescent="0.25">
      <c r="D244" s="2" t="s">
        <v>90</v>
      </c>
      <c r="F244" s="3">
        <f>Datos!C$8</f>
        <v>3.3</v>
      </c>
      <c r="G244" s="3">
        <f>Datos!D$8</f>
        <v>3.3</v>
      </c>
    </row>
    <row r="245" spans="3:7" hidden="1" x14ac:dyDescent="0.25">
      <c r="D245" s="2" t="s">
        <v>51</v>
      </c>
      <c r="E245" s="1">
        <f>2.85</f>
        <v>2.85</v>
      </c>
      <c r="F245" s="3">
        <f>Datos!C$3*'Resumen Atenuación tomas'!$E245</f>
        <v>0.34199999999999997</v>
      </c>
      <c r="G245" s="3">
        <f>Datos!D$3*'Resumen Atenuación tomas'!$E245</f>
        <v>0.42749999999999999</v>
      </c>
    </row>
    <row r="246" spans="3:7" hidden="1" x14ac:dyDescent="0.25">
      <c r="D246" s="2" t="s">
        <v>54</v>
      </c>
      <c r="F246" s="3">
        <f>Datos!C$9</f>
        <v>17</v>
      </c>
      <c r="G246" s="3">
        <f>Datos!D$9</f>
        <v>17</v>
      </c>
    </row>
    <row r="247" spans="3:7" hidden="1" x14ac:dyDescent="0.25">
      <c r="D247" s="2" t="s">
        <v>52</v>
      </c>
      <c r="E247" s="1">
        <f>1.12</f>
        <v>1.1200000000000001</v>
      </c>
      <c r="F247" s="3">
        <f>Datos!C$3*'Resumen Atenuación tomas'!$E247</f>
        <v>0.13440000000000002</v>
      </c>
      <c r="G247" s="3">
        <f>Datos!D$3*'Resumen Atenuación tomas'!$E247</f>
        <v>0.16800000000000001</v>
      </c>
    </row>
    <row r="248" spans="3:7" hidden="1" x14ac:dyDescent="0.25">
      <c r="D248" s="2" t="s">
        <v>55</v>
      </c>
      <c r="F248" s="3">
        <f>Datos!C$19</f>
        <v>13</v>
      </c>
      <c r="G248" s="3">
        <f>Datos!D$19</f>
        <v>13</v>
      </c>
    </row>
    <row r="249" spans="3:7" hidden="1" x14ac:dyDescent="0.25">
      <c r="D249" s="2" t="s">
        <v>53</v>
      </c>
      <c r="E249" s="1">
        <f>13.92</f>
        <v>13.92</v>
      </c>
      <c r="F249" s="3">
        <f>Datos!C$3*'Resumen Atenuación tomas'!$E249</f>
        <v>1.6703999999999999</v>
      </c>
      <c r="G249" s="3">
        <f>Datos!D$3*'Resumen Atenuación tomas'!$E249</f>
        <v>2.0880000000000001</v>
      </c>
    </row>
    <row r="250" spans="3:7" hidden="1" x14ac:dyDescent="0.25">
      <c r="D250" s="2" t="s">
        <v>22</v>
      </c>
      <c r="F250" s="3">
        <f>Datos!C$21</f>
        <v>4</v>
      </c>
      <c r="G250" s="3">
        <f>Datos!D$21</f>
        <v>4</v>
      </c>
    </row>
    <row r="251" spans="3:7" x14ac:dyDescent="0.25">
      <c r="D251" s="2" t="s">
        <v>26</v>
      </c>
      <c r="F251" s="3">
        <f>SUM(F241:F250)</f>
        <v>40.948799999999999</v>
      </c>
      <c r="G251" s="4">
        <f>SUM(G241:G250)</f>
        <v>41.661000000000001</v>
      </c>
    </row>
    <row r="252" spans="3:7" x14ac:dyDescent="0.25">
      <c r="C252" s="2" t="s">
        <v>86</v>
      </c>
    </row>
    <row r="253" spans="3:7" hidden="1" x14ac:dyDescent="0.25">
      <c r="D253" s="2" t="s">
        <v>17</v>
      </c>
      <c r="E253" s="1">
        <f>3</f>
        <v>3</v>
      </c>
      <c r="F253" s="3">
        <f>Datos!C$3*'Resumen Atenuación tomas'!$E253</f>
        <v>0.36</v>
      </c>
      <c r="G253" s="3">
        <f>Datos!D$3*'Resumen Atenuación tomas'!$E253</f>
        <v>0.44999999999999996</v>
      </c>
    </row>
    <row r="254" spans="3:7" hidden="1" x14ac:dyDescent="0.25">
      <c r="D254" s="2" t="s">
        <v>50</v>
      </c>
      <c r="F254" s="3">
        <f>Datos!C$5</f>
        <v>0.8</v>
      </c>
      <c r="G254" s="3">
        <f>Datos!D$5</f>
        <v>0.8</v>
      </c>
    </row>
    <row r="255" spans="3:7" hidden="1" x14ac:dyDescent="0.25">
      <c r="D255" s="2" t="s">
        <v>51</v>
      </c>
      <c r="E255" s="1">
        <f>2.85</f>
        <v>2.85</v>
      </c>
      <c r="F255" s="3">
        <f>Datos!C$3*'Resumen Atenuación tomas'!$E255</f>
        <v>0.34199999999999997</v>
      </c>
      <c r="G255" s="3">
        <f>Datos!D$3*'Resumen Atenuación tomas'!$E255</f>
        <v>0.42749999999999999</v>
      </c>
    </row>
    <row r="256" spans="3:7" hidden="1" x14ac:dyDescent="0.25">
      <c r="D256" s="2" t="s">
        <v>90</v>
      </c>
      <c r="F256" s="3">
        <f>Datos!C$8</f>
        <v>3.3</v>
      </c>
      <c r="G256" s="3">
        <f>Datos!D$8</f>
        <v>3.3</v>
      </c>
    </row>
    <row r="257" spans="3:7" hidden="1" x14ac:dyDescent="0.25">
      <c r="D257" s="2" t="s">
        <v>51</v>
      </c>
      <c r="E257" s="1">
        <f>2.85</f>
        <v>2.85</v>
      </c>
      <c r="F257" s="3">
        <f>Datos!C$3*'Resumen Atenuación tomas'!$E257</f>
        <v>0.34199999999999997</v>
      </c>
      <c r="G257" s="3">
        <f>Datos!D$3*'Resumen Atenuación tomas'!$E257</f>
        <v>0.42749999999999999</v>
      </c>
    </row>
    <row r="258" spans="3:7" hidden="1" x14ac:dyDescent="0.25">
      <c r="D258" s="2" t="s">
        <v>54</v>
      </c>
      <c r="F258" s="3">
        <f>Datos!C$9</f>
        <v>17</v>
      </c>
      <c r="G258" s="3">
        <f>Datos!D$9</f>
        <v>17</v>
      </c>
    </row>
    <row r="259" spans="3:7" hidden="1" x14ac:dyDescent="0.25">
      <c r="D259" s="2" t="s">
        <v>52</v>
      </c>
      <c r="E259" s="1">
        <f>1.12</f>
        <v>1.1200000000000001</v>
      </c>
      <c r="F259" s="3">
        <f>Datos!C$3*'Resumen Atenuación tomas'!$E259</f>
        <v>0.13440000000000002</v>
      </c>
      <c r="G259" s="3">
        <f>Datos!D$3*'Resumen Atenuación tomas'!$E259</f>
        <v>0.16800000000000001</v>
      </c>
    </row>
    <row r="260" spans="3:7" hidden="1" x14ac:dyDescent="0.25">
      <c r="D260" s="2" t="s">
        <v>55</v>
      </c>
      <c r="F260" s="3">
        <f>Datos!C$19</f>
        <v>13</v>
      </c>
      <c r="G260" s="3">
        <f>Datos!D$19</f>
        <v>13</v>
      </c>
    </row>
    <row r="261" spans="3:7" hidden="1" x14ac:dyDescent="0.25">
      <c r="D261" s="2" t="s">
        <v>60</v>
      </c>
      <c r="E261" s="1">
        <f>6.13</f>
        <v>6.13</v>
      </c>
      <c r="F261" s="3">
        <f>Datos!C$3*'Resumen Atenuación tomas'!$E261</f>
        <v>0.73559999999999992</v>
      </c>
      <c r="G261" s="3">
        <f>Datos!D$3*'Resumen Atenuación tomas'!$E261</f>
        <v>0.91949999999999998</v>
      </c>
    </row>
    <row r="262" spans="3:7" hidden="1" x14ac:dyDescent="0.25">
      <c r="D262" s="2" t="s">
        <v>22</v>
      </c>
      <c r="F262" s="3">
        <f>Datos!C$21</f>
        <v>4</v>
      </c>
      <c r="G262" s="3">
        <f>Datos!D$21</f>
        <v>4</v>
      </c>
    </row>
    <row r="263" spans="3:7" x14ac:dyDescent="0.25">
      <c r="D263" s="2" t="s">
        <v>26</v>
      </c>
      <c r="F263" s="3">
        <f>SUM(F253:F262)</f>
        <v>40.013999999999996</v>
      </c>
      <c r="G263" s="3">
        <f>SUM(G253:G262)</f>
        <v>40.4925</v>
      </c>
    </row>
    <row r="264" spans="3:7" x14ac:dyDescent="0.25">
      <c r="C264" s="2" t="s">
        <v>87</v>
      </c>
    </row>
    <row r="265" spans="3:7" hidden="1" x14ac:dyDescent="0.25">
      <c r="D265" s="2" t="s">
        <v>17</v>
      </c>
      <c r="E265" s="1">
        <f>3</f>
        <v>3</v>
      </c>
      <c r="F265" s="3">
        <f>Datos!C$3*'Resumen Atenuación tomas'!$E265</f>
        <v>0.36</v>
      </c>
      <c r="G265" s="3">
        <f>Datos!D$3*'Resumen Atenuación tomas'!$E265</f>
        <v>0.44999999999999996</v>
      </c>
    </row>
    <row r="266" spans="3:7" hidden="1" x14ac:dyDescent="0.25">
      <c r="D266" s="2" t="s">
        <v>50</v>
      </c>
      <c r="F266" s="3">
        <f>Datos!C$5</f>
        <v>0.8</v>
      </c>
      <c r="G266" s="3">
        <f>Datos!D$5</f>
        <v>0.8</v>
      </c>
    </row>
    <row r="267" spans="3:7" hidden="1" x14ac:dyDescent="0.25">
      <c r="D267" s="2" t="s">
        <v>51</v>
      </c>
      <c r="E267" s="1">
        <f>2.85</f>
        <v>2.85</v>
      </c>
      <c r="F267" s="3">
        <f>Datos!C$3*'Resumen Atenuación tomas'!$E267</f>
        <v>0.34199999999999997</v>
      </c>
      <c r="G267" s="3">
        <f>Datos!D$3*'Resumen Atenuación tomas'!$E267</f>
        <v>0.42749999999999999</v>
      </c>
    </row>
    <row r="268" spans="3:7" hidden="1" x14ac:dyDescent="0.25">
      <c r="D268" s="2" t="s">
        <v>90</v>
      </c>
      <c r="F268" s="3">
        <f>Datos!C$8</f>
        <v>3.3</v>
      </c>
      <c r="G268" s="3">
        <f>Datos!D$8</f>
        <v>3.3</v>
      </c>
    </row>
    <row r="269" spans="3:7" hidden="1" x14ac:dyDescent="0.25">
      <c r="D269" s="2" t="s">
        <v>51</v>
      </c>
      <c r="E269" s="1">
        <f>2.85</f>
        <v>2.85</v>
      </c>
      <c r="F269" s="3">
        <f>Datos!C$3*'Resumen Atenuación tomas'!$E269</f>
        <v>0.34199999999999997</v>
      </c>
      <c r="G269" s="3">
        <f>Datos!D$3*'Resumen Atenuación tomas'!$E269</f>
        <v>0.42749999999999999</v>
      </c>
    </row>
    <row r="270" spans="3:7" hidden="1" x14ac:dyDescent="0.25">
      <c r="D270" s="2" t="s">
        <v>54</v>
      </c>
      <c r="F270" s="3">
        <f>Datos!C$9</f>
        <v>17</v>
      </c>
      <c r="G270" s="3">
        <f>Datos!D$9</f>
        <v>17</v>
      </c>
    </row>
    <row r="271" spans="3:7" hidden="1" x14ac:dyDescent="0.25">
      <c r="D271" s="2" t="s">
        <v>52</v>
      </c>
      <c r="E271" s="1">
        <f>1.12</f>
        <v>1.1200000000000001</v>
      </c>
      <c r="F271" s="3">
        <f>Datos!C$3*'Resumen Atenuación tomas'!$E271</f>
        <v>0.13440000000000002</v>
      </c>
      <c r="G271" s="3">
        <f>Datos!D$3*'Resumen Atenuación tomas'!$E271</f>
        <v>0.16800000000000001</v>
      </c>
    </row>
    <row r="272" spans="3:7" hidden="1" x14ac:dyDescent="0.25">
      <c r="D272" s="2" t="s">
        <v>55</v>
      </c>
      <c r="F272" s="3">
        <f>Datos!C$19</f>
        <v>13</v>
      </c>
      <c r="G272" s="3">
        <f>Datos!D$19</f>
        <v>13</v>
      </c>
    </row>
    <row r="273" spans="3:7" hidden="1" x14ac:dyDescent="0.25">
      <c r="D273" s="2" t="s">
        <v>61</v>
      </c>
      <c r="E273" s="1">
        <f>8</f>
        <v>8</v>
      </c>
      <c r="F273" s="3">
        <f>Datos!C$3*'Resumen Atenuación tomas'!$E273</f>
        <v>0.96</v>
      </c>
      <c r="G273" s="3">
        <f>Datos!D$3*'Resumen Atenuación tomas'!$E273</f>
        <v>1.2</v>
      </c>
    </row>
    <row r="274" spans="3:7" hidden="1" x14ac:dyDescent="0.25">
      <c r="D274" s="2" t="s">
        <v>22</v>
      </c>
      <c r="F274" s="3">
        <f>Datos!C$21</f>
        <v>4</v>
      </c>
      <c r="G274" s="3">
        <f>Datos!D$21</f>
        <v>4</v>
      </c>
    </row>
    <row r="275" spans="3:7" x14ac:dyDescent="0.25">
      <c r="D275" s="2" t="s">
        <v>26</v>
      </c>
      <c r="F275" s="3">
        <f>SUM(F265:F274)</f>
        <v>40.238399999999999</v>
      </c>
      <c r="G275" s="3">
        <f>SUM(G265:G274)</f>
        <v>40.773000000000003</v>
      </c>
    </row>
    <row r="276" spans="3:7" x14ac:dyDescent="0.25">
      <c r="C276" s="2" t="s">
        <v>88</v>
      </c>
    </row>
    <row r="277" spans="3:7" hidden="1" x14ac:dyDescent="0.25">
      <c r="D277" s="2" t="s">
        <v>17</v>
      </c>
      <c r="E277" s="1">
        <f>3</f>
        <v>3</v>
      </c>
      <c r="F277" s="3">
        <f>Datos!C$3*'Resumen Atenuación tomas'!$E277</f>
        <v>0.36</v>
      </c>
      <c r="G277" s="3">
        <f>Datos!D$3*'Resumen Atenuación tomas'!$E277</f>
        <v>0.44999999999999996</v>
      </c>
    </row>
    <row r="278" spans="3:7" hidden="1" x14ac:dyDescent="0.25">
      <c r="D278" s="2" t="s">
        <v>50</v>
      </c>
      <c r="F278" s="3">
        <f>Datos!C$5</f>
        <v>0.8</v>
      </c>
      <c r="G278" s="3">
        <f>Datos!D$5</f>
        <v>0.8</v>
      </c>
    </row>
    <row r="279" spans="3:7" hidden="1" x14ac:dyDescent="0.25">
      <c r="D279" s="2" t="s">
        <v>51</v>
      </c>
      <c r="E279" s="1">
        <f>2.85</f>
        <v>2.85</v>
      </c>
      <c r="F279" s="3">
        <f>Datos!C$3*'Resumen Atenuación tomas'!$E279</f>
        <v>0.34199999999999997</v>
      </c>
      <c r="G279" s="3">
        <f>Datos!D$3*'Resumen Atenuación tomas'!$E279</f>
        <v>0.42749999999999999</v>
      </c>
    </row>
    <row r="280" spans="3:7" hidden="1" x14ac:dyDescent="0.25">
      <c r="D280" s="2" t="s">
        <v>90</v>
      </c>
      <c r="F280" s="3">
        <f>Datos!C$8</f>
        <v>3.3</v>
      </c>
      <c r="G280" s="3">
        <f>Datos!D$8</f>
        <v>3.3</v>
      </c>
    </row>
    <row r="281" spans="3:7" hidden="1" x14ac:dyDescent="0.25">
      <c r="D281" s="2" t="s">
        <v>51</v>
      </c>
      <c r="E281" s="1">
        <f>2.85</f>
        <v>2.85</v>
      </c>
      <c r="F281" s="3">
        <f>Datos!C$3*'Resumen Atenuación tomas'!$E281</f>
        <v>0.34199999999999997</v>
      </c>
      <c r="G281" s="3">
        <f>Datos!D$3*'Resumen Atenuación tomas'!$E281</f>
        <v>0.42749999999999999</v>
      </c>
    </row>
    <row r="282" spans="3:7" hidden="1" x14ac:dyDescent="0.25">
      <c r="D282" s="2" t="s">
        <v>54</v>
      </c>
      <c r="F282" s="3">
        <f>Datos!C$9</f>
        <v>17</v>
      </c>
      <c r="G282" s="3">
        <f>Datos!D$9</f>
        <v>17</v>
      </c>
    </row>
    <row r="283" spans="3:7" hidden="1" x14ac:dyDescent="0.25">
      <c r="D283" s="2" t="s">
        <v>52</v>
      </c>
      <c r="E283" s="1">
        <f>1.12</f>
        <v>1.1200000000000001</v>
      </c>
      <c r="F283" s="3">
        <f>Datos!C$3*'Resumen Atenuación tomas'!$E283</f>
        <v>0.13440000000000002</v>
      </c>
      <c r="G283" s="3">
        <f>Datos!D$3*'Resumen Atenuación tomas'!$E283</f>
        <v>0.16800000000000001</v>
      </c>
    </row>
    <row r="284" spans="3:7" hidden="1" x14ac:dyDescent="0.25">
      <c r="D284" s="2" t="s">
        <v>55</v>
      </c>
      <c r="F284" s="3">
        <f>Datos!C$19</f>
        <v>13</v>
      </c>
      <c r="G284" s="3">
        <f>Datos!D$19</f>
        <v>13</v>
      </c>
    </row>
    <row r="285" spans="3:7" hidden="1" x14ac:dyDescent="0.25">
      <c r="D285" s="2" t="s">
        <v>62</v>
      </c>
      <c r="E285" s="1">
        <f>7.74</f>
        <v>7.74</v>
      </c>
      <c r="F285" s="3">
        <f>Datos!C$3*'Resumen Atenuación tomas'!$E285</f>
        <v>0.92879999999999996</v>
      </c>
      <c r="G285" s="3">
        <f>Datos!D$3*'Resumen Atenuación tomas'!$E285</f>
        <v>1.161</v>
      </c>
    </row>
    <row r="286" spans="3:7" hidden="1" x14ac:dyDescent="0.25">
      <c r="D286" s="2" t="s">
        <v>22</v>
      </c>
      <c r="F286" s="3">
        <f>Datos!C$21</f>
        <v>4</v>
      </c>
      <c r="G286" s="3">
        <f>Datos!D$21</f>
        <v>4</v>
      </c>
    </row>
    <row r="287" spans="3:7" x14ac:dyDescent="0.25">
      <c r="D287" s="2" t="s">
        <v>26</v>
      </c>
      <c r="F287" s="3">
        <f>SUM(F277:F286)</f>
        <v>40.2072</v>
      </c>
      <c r="G287" s="3">
        <f>SUM(G277:G286)</f>
        <v>40.734000000000002</v>
      </c>
    </row>
    <row r="288" spans="3:7" x14ac:dyDescent="0.25">
      <c r="C288" s="2" t="s">
        <v>89</v>
      </c>
    </row>
    <row r="289" spans="2:7" hidden="1" x14ac:dyDescent="0.25">
      <c r="D289" s="2" t="s">
        <v>17</v>
      </c>
      <c r="E289" s="1">
        <f>3</f>
        <v>3</v>
      </c>
      <c r="F289" s="3">
        <f>Datos!C$3*'Resumen Atenuación tomas'!$E289</f>
        <v>0.36</v>
      </c>
      <c r="G289" s="3">
        <f>Datos!D$3*'Resumen Atenuación tomas'!$E289</f>
        <v>0.44999999999999996</v>
      </c>
    </row>
    <row r="290" spans="2:7" hidden="1" x14ac:dyDescent="0.25">
      <c r="D290" s="2" t="s">
        <v>50</v>
      </c>
      <c r="F290" s="3">
        <f>Datos!C$5</f>
        <v>0.8</v>
      </c>
      <c r="G290" s="3">
        <f>Datos!D$5</f>
        <v>0.8</v>
      </c>
    </row>
    <row r="291" spans="2:7" hidden="1" x14ac:dyDescent="0.25">
      <c r="D291" s="2" t="s">
        <v>51</v>
      </c>
      <c r="E291" s="1">
        <f>2.85</f>
        <v>2.85</v>
      </c>
      <c r="F291" s="3">
        <f>Datos!C$3*'Resumen Atenuación tomas'!$E291</f>
        <v>0.34199999999999997</v>
      </c>
      <c r="G291" s="3">
        <f>Datos!D$3*'Resumen Atenuación tomas'!$E291</f>
        <v>0.42749999999999999</v>
      </c>
    </row>
    <row r="292" spans="2:7" hidden="1" x14ac:dyDescent="0.25">
      <c r="D292" s="2" t="s">
        <v>90</v>
      </c>
      <c r="F292" s="3">
        <f>Datos!C$8</f>
        <v>3.3</v>
      </c>
      <c r="G292" s="3">
        <f>Datos!D$8</f>
        <v>3.3</v>
      </c>
    </row>
    <row r="293" spans="2:7" hidden="1" x14ac:dyDescent="0.25">
      <c r="D293" s="2" t="s">
        <v>51</v>
      </c>
      <c r="E293" s="1">
        <f>2.85</f>
        <v>2.85</v>
      </c>
      <c r="F293" s="3">
        <f>Datos!C$3*'Resumen Atenuación tomas'!$E293</f>
        <v>0.34199999999999997</v>
      </c>
      <c r="G293" s="3">
        <f>Datos!D$3*'Resumen Atenuación tomas'!$E293</f>
        <v>0.42749999999999999</v>
      </c>
    </row>
    <row r="294" spans="2:7" hidden="1" x14ac:dyDescent="0.25">
      <c r="D294" s="2" t="s">
        <v>54</v>
      </c>
      <c r="F294" s="3">
        <f>Datos!C$9</f>
        <v>17</v>
      </c>
      <c r="G294" s="3">
        <f>Datos!D$9</f>
        <v>17</v>
      </c>
    </row>
    <row r="295" spans="2:7" hidden="1" x14ac:dyDescent="0.25">
      <c r="D295" s="2" t="s">
        <v>52</v>
      </c>
      <c r="E295" s="1">
        <f>1.12</f>
        <v>1.1200000000000001</v>
      </c>
      <c r="F295" s="3">
        <f>Datos!C$3*'Resumen Atenuación tomas'!$E295</f>
        <v>0.13440000000000002</v>
      </c>
      <c r="G295" s="3">
        <f>Datos!D$3*'Resumen Atenuación tomas'!$E295</f>
        <v>0.16800000000000001</v>
      </c>
    </row>
    <row r="296" spans="2:7" hidden="1" x14ac:dyDescent="0.25">
      <c r="D296" s="2" t="s">
        <v>55</v>
      </c>
      <c r="F296" s="3">
        <f>Datos!C$19</f>
        <v>13</v>
      </c>
      <c r="G296" s="3">
        <f>Datos!D$19</f>
        <v>13</v>
      </c>
    </row>
    <row r="297" spans="2:7" hidden="1" x14ac:dyDescent="0.25">
      <c r="D297" s="2" t="s">
        <v>63</v>
      </c>
      <c r="E297" s="1">
        <f>6.51</f>
        <v>6.51</v>
      </c>
      <c r="F297" s="3">
        <f>Datos!C$3*'Resumen Atenuación tomas'!$E297</f>
        <v>0.78119999999999989</v>
      </c>
      <c r="G297" s="3">
        <f>Datos!D$3*'Resumen Atenuación tomas'!$E297</f>
        <v>0.97649999999999992</v>
      </c>
    </row>
    <row r="298" spans="2:7" hidden="1" x14ac:dyDescent="0.25">
      <c r="D298" s="2" t="s">
        <v>22</v>
      </c>
      <c r="F298" s="3">
        <f>Datos!C$21</f>
        <v>4</v>
      </c>
      <c r="G298" s="3">
        <f>Datos!D$21</f>
        <v>4</v>
      </c>
    </row>
    <row r="299" spans="2:7" x14ac:dyDescent="0.25">
      <c r="D299" s="2" t="s">
        <v>26</v>
      </c>
      <c r="F299" s="3">
        <f>SUM(F289:F298)</f>
        <v>40.059599999999996</v>
      </c>
      <c r="G299" s="3">
        <f>SUM(G289:G298)</f>
        <v>40.549500000000002</v>
      </c>
    </row>
    <row r="300" spans="2:7" x14ac:dyDescent="0.25">
      <c r="B300" s="2" t="s">
        <v>30</v>
      </c>
    </row>
    <row r="301" spans="2:7" x14ac:dyDescent="0.25">
      <c r="C301" s="2" t="s">
        <v>91</v>
      </c>
    </row>
    <row r="302" spans="2:7" hidden="1" x14ac:dyDescent="0.25">
      <c r="D302" s="2" t="s">
        <v>17</v>
      </c>
      <c r="E302" s="1">
        <f>3</f>
        <v>3</v>
      </c>
      <c r="F302" s="3">
        <f>Datos!C$3*'Resumen Atenuación tomas'!$E302</f>
        <v>0.36</v>
      </c>
      <c r="G302" s="3">
        <f>Datos!D$3*'Resumen Atenuación tomas'!$E302</f>
        <v>0.44999999999999996</v>
      </c>
    </row>
    <row r="303" spans="2:7" hidden="1" x14ac:dyDescent="0.25">
      <c r="D303" s="2" t="s">
        <v>50</v>
      </c>
      <c r="F303" s="3">
        <f>Datos!C$5</f>
        <v>0.8</v>
      </c>
      <c r="G303" s="3">
        <f>Datos!D$5</f>
        <v>0.8</v>
      </c>
    </row>
    <row r="304" spans="2:7" hidden="1" x14ac:dyDescent="0.25">
      <c r="D304" s="2" t="s">
        <v>51</v>
      </c>
      <c r="E304" s="1">
        <f>2.85</f>
        <v>2.85</v>
      </c>
      <c r="F304" s="3">
        <f>Datos!C$3*'Resumen Atenuación tomas'!$E304</f>
        <v>0.34199999999999997</v>
      </c>
      <c r="G304" s="3">
        <f>Datos!D$3*'Resumen Atenuación tomas'!$E304</f>
        <v>0.42749999999999999</v>
      </c>
    </row>
    <row r="305" spans="3:7" hidden="1" x14ac:dyDescent="0.25">
      <c r="D305" s="2" t="s">
        <v>90</v>
      </c>
      <c r="F305" s="3">
        <f>Datos!C$8</f>
        <v>3.3</v>
      </c>
      <c r="G305" s="3">
        <f>Datos!D$8</f>
        <v>3.3</v>
      </c>
    </row>
    <row r="306" spans="3:7" hidden="1" x14ac:dyDescent="0.25">
      <c r="D306" s="2" t="s">
        <v>51</v>
      </c>
      <c r="E306" s="1">
        <f>2.85</f>
        <v>2.85</v>
      </c>
      <c r="F306" s="3">
        <f>Datos!C$3*'Resumen Atenuación tomas'!$E306</f>
        <v>0.34199999999999997</v>
      </c>
      <c r="G306" s="3">
        <f>Datos!D$3*'Resumen Atenuación tomas'!$E306</f>
        <v>0.42749999999999999</v>
      </c>
    </row>
    <row r="307" spans="3:7" hidden="1" x14ac:dyDescent="0.25">
      <c r="D307" s="2" t="s">
        <v>54</v>
      </c>
      <c r="F307" s="3">
        <f>Datos!C$9</f>
        <v>17</v>
      </c>
      <c r="G307" s="3">
        <f>Datos!D$9</f>
        <v>17</v>
      </c>
    </row>
    <row r="308" spans="3:7" hidden="1" x14ac:dyDescent="0.25">
      <c r="D308" s="2" t="s">
        <v>65</v>
      </c>
      <c r="E308" s="1">
        <f>4.49</f>
        <v>4.49</v>
      </c>
      <c r="F308" s="3">
        <f>Datos!C$3*'Resumen Atenuación tomas'!$E308</f>
        <v>0.53880000000000006</v>
      </c>
      <c r="G308" s="3">
        <f>Datos!D$3*'Resumen Atenuación tomas'!$E308</f>
        <v>0.67349999999999999</v>
      </c>
    </row>
    <row r="309" spans="3:7" hidden="1" x14ac:dyDescent="0.25">
      <c r="D309" s="2" t="s">
        <v>20</v>
      </c>
      <c r="F309" s="3">
        <f>Datos!C$17</f>
        <v>9</v>
      </c>
      <c r="G309" s="3">
        <f>Datos!D$17</f>
        <v>9</v>
      </c>
    </row>
    <row r="310" spans="3:7" hidden="1" x14ac:dyDescent="0.25">
      <c r="D310" s="2" t="s">
        <v>66</v>
      </c>
      <c r="E310" s="1">
        <f>4.2</f>
        <v>4.2</v>
      </c>
      <c r="F310" s="3">
        <f>Datos!C$3*'Resumen Atenuación tomas'!$E310</f>
        <v>0.504</v>
      </c>
      <c r="G310" s="3">
        <f>Datos!D$3*'Resumen Atenuación tomas'!$E310</f>
        <v>0.63</v>
      </c>
    </row>
    <row r="311" spans="3:7" hidden="1" x14ac:dyDescent="0.25">
      <c r="D311" s="2" t="s">
        <v>22</v>
      </c>
      <c r="F311" s="3">
        <f>Datos!C$21</f>
        <v>4</v>
      </c>
      <c r="G311" s="3">
        <f>Datos!D$21</f>
        <v>4</v>
      </c>
    </row>
    <row r="312" spans="3:7" x14ac:dyDescent="0.25">
      <c r="D312" s="2" t="s">
        <v>26</v>
      </c>
      <c r="F312" s="3">
        <f>SUM(F302:F311)</f>
        <v>36.186799999999998</v>
      </c>
      <c r="G312" s="3">
        <f>SUM(G302:G311)</f>
        <v>36.708500000000008</v>
      </c>
    </row>
    <row r="313" spans="3:7" x14ac:dyDescent="0.25">
      <c r="C313" s="2" t="s">
        <v>92</v>
      </c>
    </row>
    <row r="314" spans="3:7" hidden="1" x14ac:dyDescent="0.25">
      <c r="D314" s="2" t="s">
        <v>17</v>
      </c>
      <c r="E314" s="1">
        <f>3</f>
        <v>3</v>
      </c>
      <c r="F314" s="3">
        <f>Datos!C$3*'Resumen Atenuación tomas'!$E314</f>
        <v>0.36</v>
      </c>
      <c r="G314" s="3">
        <f>Datos!D$3*'Resumen Atenuación tomas'!$E314</f>
        <v>0.44999999999999996</v>
      </c>
    </row>
    <row r="315" spans="3:7" hidden="1" x14ac:dyDescent="0.25">
      <c r="D315" s="2" t="s">
        <v>50</v>
      </c>
      <c r="F315" s="3">
        <f>Datos!C$5</f>
        <v>0.8</v>
      </c>
      <c r="G315" s="3">
        <f>Datos!D$5</f>
        <v>0.8</v>
      </c>
    </row>
    <row r="316" spans="3:7" hidden="1" x14ac:dyDescent="0.25">
      <c r="D316" s="2" t="s">
        <v>51</v>
      </c>
      <c r="E316" s="1">
        <f>2.85</f>
        <v>2.85</v>
      </c>
      <c r="F316" s="3">
        <f>Datos!C$3*'Resumen Atenuación tomas'!$E316</f>
        <v>0.34199999999999997</v>
      </c>
      <c r="G316" s="3">
        <f>Datos!D$3*'Resumen Atenuación tomas'!$E316</f>
        <v>0.42749999999999999</v>
      </c>
    </row>
    <row r="317" spans="3:7" hidden="1" x14ac:dyDescent="0.25">
      <c r="D317" s="2" t="s">
        <v>90</v>
      </c>
      <c r="F317" s="3">
        <f>Datos!C$8</f>
        <v>3.3</v>
      </c>
      <c r="G317" s="3">
        <f>Datos!D$8</f>
        <v>3.3</v>
      </c>
    </row>
    <row r="318" spans="3:7" hidden="1" x14ac:dyDescent="0.25">
      <c r="D318" s="2" t="s">
        <v>51</v>
      </c>
      <c r="E318" s="1">
        <f>2.85</f>
        <v>2.85</v>
      </c>
      <c r="F318" s="3">
        <f>Datos!C$3*'Resumen Atenuación tomas'!$E318</f>
        <v>0.34199999999999997</v>
      </c>
      <c r="G318" s="3">
        <f>Datos!D$3*'Resumen Atenuación tomas'!$E318</f>
        <v>0.42749999999999999</v>
      </c>
    </row>
    <row r="319" spans="3:7" hidden="1" x14ac:dyDescent="0.25">
      <c r="D319" s="2" t="s">
        <v>54</v>
      </c>
      <c r="F319" s="3">
        <f>Datos!C$9</f>
        <v>17</v>
      </c>
      <c r="G319" s="3">
        <f>Datos!D$9</f>
        <v>17</v>
      </c>
    </row>
    <row r="320" spans="3:7" hidden="1" x14ac:dyDescent="0.25">
      <c r="D320" s="2" t="s">
        <v>65</v>
      </c>
      <c r="E320" s="1">
        <f>4.49</f>
        <v>4.49</v>
      </c>
      <c r="F320" s="3">
        <f>Datos!C$3*'Resumen Atenuación tomas'!$E320</f>
        <v>0.53880000000000006</v>
      </c>
      <c r="G320" s="3">
        <f>Datos!D$3*'Resumen Atenuación tomas'!$E320</f>
        <v>0.67349999999999999</v>
      </c>
    </row>
    <row r="321" spans="3:7" hidden="1" x14ac:dyDescent="0.25">
      <c r="D321" s="2" t="s">
        <v>20</v>
      </c>
      <c r="F321" s="3">
        <f>Datos!C$17</f>
        <v>9</v>
      </c>
      <c r="G321" s="3">
        <f>Datos!D$17</f>
        <v>9</v>
      </c>
    </row>
    <row r="322" spans="3:7" hidden="1" x14ac:dyDescent="0.25">
      <c r="D322" s="2" t="s">
        <v>72</v>
      </c>
      <c r="E322" s="1">
        <f>4.9</f>
        <v>4.9000000000000004</v>
      </c>
      <c r="F322" s="3">
        <f>Datos!C$3*'Resumen Atenuación tomas'!$E322</f>
        <v>0.58799999999999997</v>
      </c>
      <c r="G322" s="3">
        <f>Datos!D$3*'Resumen Atenuación tomas'!$E322</f>
        <v>0.73499999999999999</v>
      </c>
    </row>
    <row r="323" spans="3:7" hidden="1" x14ac:dyDescent="0.25">
      <c r="D323" s="2" t="s">
        <v>22</v>
      </c>
      <c r="F323" s="3">
        <f>Datos!C$21</f>
        <v>4</v>
      </c>
      <c r="G323" s="3">
        <f>Datos!D$21</f>
        <v>4</v>
      </c>
    </row>
    <row r="324" spans="3:7" x14ac:dyDescent="0.25">
      <c r="D324" s="2" t="s">
        <v>26</v>
      </c>
      <c r="F324" s="3">
        <f>SUM(F314:F323)</f>
        <v>36.270799999999994</v>
      </c>
      <c r="G324" s="3">
        <f>SUM(G314:G323)</f>
        <v>36.813500000000005</v>
      </c>
    </row>
    <row r="325" spans="3:7" x14ac:dyDescent="0.25">
      <c r="C325" s="2" t="s">
        <v>93</v>
      </c>
    </row>
    <row r="326" spans="3:7" hidden="1" x14ac:dyDescent="0.25">
      <c r="D326" s="2" t="s">
        <v>17</v>
      </c>
      <c r="E326" s="1">
        <f>3</f>
        <v>3</v>
      </c>
      <c r="F326" s="3">
        <f>Datos!C$3*'Resumen Atenuación tomas'!$E326</f>
        <v>0.36</v>
      </c>
      <c r="G326" s="3">
        <f>Datos!D$3*'Resumen Atenuación tomas'!$E326</f>
        <v>0.44999999999999996</v>
      </c>
    </row>
    <row r="327" spans="3:7" hidden="1" x14ac:dyDescent="0.25">
      <c r="D327" s="2" t="s">
        <v>50</v>
      </c>
      <c r="F327" s="3">
        <f>Datos!C$5</f>
        <v>0.8</v>
      </c>
      <c r="G327" s="3">
        <f>Datos!D$5</f>
        <v>0.8</v>
      </c>
    </row>
    <row r="328" spans="3:7" hidden="1" x14ac:dyDescent="0.25">
      <c r="D328" s="2" t="s">
        <v>51</v>
      </c>
      <c r="E328" s="1">
        <f>2.85</f>
        <v>2.85</v>
      </c>
      <c r="F328" s="3">
        <f>Datos!C$3*'Resumen Atenuación tomas'!$E328</f>
        <v>0.34199999999999997</v>
      </c>
      <c r="G328" s="3">
        <f>Datos!D$3*'Resumen Atenuación tomas'!$E328</f>
        <v>0.42749999999999999</v>
      </c>
    </row>
    <row r="329" spans="3:7" hidden="1" x14ac:dyDescent="0.25">
      <c r="D329" s="2" t="s">
        <v>90</v>
      </c>
      <c r="F329" s="3">
        <f>Datos!C$8</f>
        <v>3.3</v>
      </c>
      <c r="G329" s="3">
        <f>Datos!D$8</f>
        <v>3.3</v>
      </c>
    </row>
    <row r="330" spans="3:7" hidden="1" x14ac:dyDescent="0.25">
      <c r="D330" s="2" t="s">
        <v>51</v>
      </c>
      <c r="E330" s="1">
        <f>2.85</f>
        <v>2.85</v>
      </c>
      <c r="F330" s="3">
        <f>Datos!C$3*'Resumen Atenuación tomas'!$E330</f>
        <v>0.34199999999999997</v>
      </c>
      <c r="G330" s="3">
        <f>Datos!D$3*'Resumen Atenuación tomas'!$E330</f>
        <v>0.42749999999999999</v>
      </c>
    </row>
    <row r="331" spans="3:7" hidden="1" x14ac:dyDescent="0.25">
      <c r="D331" s="2" t="s">
        <v>54</v>
      </c>
      <c r="F331" s="3">
        <f>Datos!C$9</f>
        <v>17</v>
      </c>
      <c r="G331" s="3">
        <f>Datos!D$9</f>
        <v>17</v>
      </c>
    </row>
    <row r="332" spans="3:7" hidden="1" x14ac:dyDescent="0.25">
      <c r="D332" s="2" t="s">
        <v>65</v>
      </c>
      <c r="E332" s="1">
        <f>4.49</f>
        <v>4.49</v>
      </c>
      <c r="F332" s="3">
        <f>Datos!C$3*'Resumen Atenuación tomas'!$E332</f>
        <v>0.53880000000000006</v>
      </c>
      <c r="G332" s="3">
        <f>Datos!D$3*'Resumen Atenuación tomas'!$E332</f>
        <v>0.67349999999999999</v>
      </c>
    </row>
    <row r="333" spans="3:7" hidden="1" x14ac:dyDescent="0.25">
      <c r="D333" s="2" t="s">
        <v>20</v>
      </c>
      <c r="F333" s="3">
        <f>Datos!C$17</f>
        <v>9</v>
      </c>
      <c r="G333" s="3">
        <f>Datos!D$17</f>
        <v>9</v>
      </c>
    </row>
    <row r="334" spans="3:7" hidden="1" x14ac:dyDescent="0.25">
      <c r="D334" s="2" t="s">
        <v>71</v>
      </c>
      <c r="E334" s="1">
        <f>9.49</f>
        <v>9.49</v>
      </c>
      <c r="F334" s="3">
        <f>Datos!C$3*'Resumen Atenuación tomas'!$E334</f>
        <v>1.1388</v>
      </c>
      <c r="G334" s="3">
        <f>Datos!D$3*'Resumen Atenuación tomas'!$E334</f>
        <v>1.4235</v>
      </c>
    </row>
    <row r="335" spans="3:7" hidden="1" x14ac:dyDescent="0.25">
      <c r="D335" s="2" t="s">
        <v>22</v>
      </c>
      <c r="F335" s="3">
        <f>Datos!C$21</f>
        <v>4</v>
      </c>
      <c r="G335" s="3">
        <f>Datos!D$21</f>
        <v>4</v>
      </c>
    </row>
    <row r="336" spans="3:7" x14ac:dyDescent="0.25">
      <c r="D336" s="2" t="s">
        <v>26</v>
      </c>
      <c r="F336" s="3">
        <f>SUM(F326:F335)</f>
        <v>36.821599999999997</v>
      </c>
      <c r="G336" s="3">
        <f>SUM(G326:G335)</f>
        <v>37.502000000000002</v>
      </c>
    </row>
    <row r="337" spans="2:7" x14ac:dyDescent="0.25">
      <c r="C337" s="2" t="s">
        <v>94</v>
      </c>
    </row>
    <row r="338" spans="2:7" hidden="1" x14ac:dyDescent="0.25">
      <c r="D338" s="2" t="s">
        <v>17</v>
      </c>
      <c r="E338" s="1">
        <f>3</f>
        <v>3</v>
      </c>
      <c r="F338" s="3">
        <f>Datos!C$3*'Resumen Atenuación tomas'!$E338</f>
        <v>0.36</v>
      </c>
      <c r="G338" s="3">
        <f>Datos!D$3*'Resumen Atenuación tomas'!$E338</f>
        <v>0.44999999999999996</v>
      </c>
    </row>
    <row r="339" spans="2:7" hidden="1" x14ac:dyDescent="0.25">
      <c r="D339" s="2" t="s">
        <v>50</v>
      </c>
      <c r="F339" s="3">
        <f>Datos!C$5</f>
        <v>0.8</v>
      </c>
      <c r="G339" s="3">
        <f>Datos!D$5</f>
        <v>0.8</v>
      </c>
    </row>
    <row r="340" spans="2:7" hidden="1" x14ac:dyDescent="0.25">
      <c r="D340" s="2" t="s">
        <v>51</v>
      </c>
      <c r="E340" s="1">
        <f>2.85</f>
        <v>2.85</v>
      </c>
      <c r="F340" s="3">
        <f>Datos!C$3*'Resumen Atenuación tomas'!$E340</f>
        <v>0.34199999999999997</v>
      </c>
      <c r="G340" s="3">
        <f>Datos!D$3*'Resumen Atenuación tomas'!$E340</f>
        <v>0.42749999999999999</v>
      </c>
    </row>
    <row r="341" spans="2:7" hidden="1" x14ac:dyDescent="0.25">
      <c r="D341" s="2" t="s">
        <v>90</v>
      </c>
      <c r="F341" s="3">
        <f>Datos!C$8</f>
        <v>3.3</v>
      </c>
      <c r="G341" s="3">
        <f>Datos!D$8</f>
        <v>3.3</v>
      </c>
    </row>
    <row r="342" spans="2:7" hidden="1" x14ac:dyDescent="0.25">
      <c r="D342" s="2" t="s">
        <v>51</v>
      </c>
      <c r="E342" s="1">
        <f>2.85</f>
        <v>2.85</v>
      </c>
      <c r="F342" s="3">
        <f>Datos!C$3*'Resumen Atenuación tomas'!$E342</f>
        <v>0.34199999999999997</v>
      </c>
      <c r="G342" s="3">
        <f>Datos!D$3*'Resumen Atenuación tomas'!$E342</f>
        <v>0.42749999999999999</v>
      </c>
    </row>
    <row r="343" spans="2:7" hidden="1" x14ac:dyDescent="0.25">
      <c r="D343" s="2" t="s">
        <v>54</v>
      </c>
      <c r="F343" s="3">
        <f>Datos!C$9</f>
        <v>17</v>
      </c>
      <c r="G343" s="3">
        <f>Datos!D$9</f>
        <v>17</v>
      </c>
    </row>
    <row r="344" spans="2:7" hidden="1" x14ac:dyDescent="0.25">
      <c r="D344" s="2" t="s">
        <v>65</v>
      </c>
      <c r="E344" s="1">
        <f>4.49</f>
        <v>4.49</v>
      </c>
      <c r="F344" s="3">
        <f>Datos!C$3*'Resumen Atenuación tomas'!$E344</f>
        <v>0.53880000000000006</v>
      </c>
      <c r="G344" s="3">
        <f>Datos!D$3*'Resumen Atenuación tomas'!$E344</f>
        <v>0.67349999999999999</v>
      </c>
    </row>
    <row r="345" spans="2:7" hidden="1" x14ac:dyDescent="0.25">
      <c r="D345" s="2" t="s">
        <v>20</v>
      </c>
      <c r="F345" s="3">
        <f>Datos!C$17</f>
        <v>9</v>
      </c>
      <c r="G345" s="3">
        <f>Datos!D$17</f>
        <v>9</v>
      </c>
    </row>
    <row r="346" spans="2:7" hidden="1" x14ac:dyDescent="0.25">
      <c r="D346" s="2" t="s">
        <v>70</v>
      </c>
      <c r="E346" s="1">
        <f>9.7</f>
        <v>9.6999999999999993</v>
      </c>
      <c r="F346" s="3">
        <f>Datos!C$3*'Resumen Atenuación tomas'!$E346</f>
        <v>1.1639999999999999</v>
      </c>
      <c r="G346" s="3">
        <f>Datos!D$3*'Resumen Atenuación tomas'!$E346</f>
        <v>1.4549999999999998</v>
      </c>
    </row>
    <row r="347" spans="2:7" hidden="1" x14ac:dyDescent="0.25">
      <c r="D347" s="2" t="s">
        <v>22</v>
      </c>
      <c r="F347" s="3">
        <f>Datos!C$21</f>
        <v>4</v>
      </c>
      <c r="G347" s="3">
        <f>Datos!D$21</f>
        <v>4</v>
      </c>
    </row>
    <row r="348" spans="2:7" x14ac:dyDescent="0.25">
      <c r="D348" s="2" t="s">
        <v>26</v>
      </c>
      <c r="F348" s="3">
        <f>SUM(F338:F347)</f>
        <v>36.846799999999995</v>
      </c>
      <c r="G348" s="3">
        <f>SUM(G338:G347)</f>
        <v>37.533500000000004</v>
      </c>
    </row>
    <row r="349" spans="2:7" x14ac:dyDescent="0.25">
      <c r="B349" s="2" t="s">
        <v>38</v>
      </c>
    </row>
    <row r="350" spans="2:7" x14ac:dyDescent="0.25">
      <c r="C350" s="2" t="s">
        <v>95</v>
      </c>
    </row>
    <row r="351" spans="2:7" hidden="1" x14ac:dyDescent="0.25">
      <c r="D351" s="2" t="s">
        <v>17</v>
      </c>
      <c r="E351" s="1">
        <f>3</f>
        <v>3</v>
      </c>
      <c r="F351" s="3">
        <f>Datos!C$3*'Resumen Atenuación tomas'!$E351</f>
        <v>0.36</v>
      </c>
      <c r="G351" s="3">
        <f>Datos!D$3*'Resumen Atenuación tomas'!$E351</f>
        <v>0.44999999999999996</v>
      </c>
    </row>
    <row r="352" spans="2:7" hidden="1" x14ac:dyDescent="0.25">
      <c r="D352" s="2" t="s">
        <v>50</v>
      </c>
      <c r="F352" s="3">
        <f>Datos!C$5</f>
        <v>0.8</v>
      </c>
      <c r="G352" s="3">
        <f>Datos!D$5</f>
        <v>0.8</v>
      </c>
    </row>
    <row r="353" spans="3:7" hidden="1" x14ac:dyDescent="0.25">
      <c r="D353" s="2" t="s">
        <v>51</v>
      </c>
      <c r="E353" s="1">
        <f>2.85</f>
        <v>2.85</v>
      </c>
      <c r="F353" s="3">
        <f>Datos!C$3*'Resumen Atenuación tomas'!$E353</f>
        <v>0.34199999999999997</v>
      </c>
      <c r="G353" s="3">
        <f>Datos!D$3*'Resumen Atenuación tomas'!$E353</f>
        <v>0.42749999999999999</v>
      </c>
    </row>
    <row r="354" spans="3:7" hidden="1" x14ac:dyDescent="0.25">
      <c r="D354" s="2" t="s">
        <v>90</v>
      </c>
      <c r="F354" s="3">
        <f>Datos!C$8</f>
        <v>3.3</v>
      </c>
      <c r="G354" s="3">
        <f>Datos!D$8</f>
        <v>3.3</v>
      </c>
    </row>
    <row r="355" spans="3:7" hidden="1" x14ac:dyDescent="0.25">
      <c r="D355" s="2" t="s">
        <v>51</v>
      </c>
      <c r="E355" s="1">
        <f>2.85</f>
        <v>2.85</v>
      </c>
      <c r="F355" s="3">
        <f>Datos!C$3*'Resumen Atenuación tomas'!$E355</f>
        <v>0.34199999999999997</v>
      </c>
      <c r="G355" s="3">
        <f>Datos!D$3*'Resumen Atenuación tomas'!$E355</f>
        <v>0.42749999999999999</v>
      </c>
    </row>
    <row r="356" spans="3:7" hidden="1" x14ac:dyDescent="0.25">
      <c r="D356" s="2" t="s">
        <v>54</v>
      </c>
      <c r="F356" s="3">
        <f>Datos!C$9</f>
        <v>17</v>
      </c>
      <c r="G356" s="3">
        <f>Datos!D$9</f>
        <v>17</v>
      </c>
    </row>
    <row r="357" spans="3:7" hidden="1" x14ac:dyDescent="0.25">
      <c r="D357" s="2" t="s">
        <v>74</v>
      </c>
      <c r="E357" s="1">
        <f>4.84</f>
        <v>4.84</v>
      </c>
      <c r="F357" s="3">
        <f>Datos!C$3*'Resumen Atenuación tomas'!$E357</f>
        <v>0.58079999999999998</v>
      </c>
      <c r="G357" s="3">
        <f>Datos!D$3*'Resumen Atenuación tomas'!$E357</f>
        <v>0.72599999999999998</v>
      </c>
    </row>
    <row r="358" spans="3:7" hidden="1" x14ac:dyDescent="0.25">
      <c r="D358" s="2" t="s">
        <v>55</v>
      </c>
      <c r="F358" s="3">
        <f>Datos!C$19</f>
        <v>13</v>
      </c>
      <c r="G358" s="3">
        <f>Datos!D$19</f>
        <v>13</v>
      </c>
    </row>
    <row r="359" spans="3:7" hidden="1" x14ac:dyDescent="0.25">
      <c r="D359" s="2" t="s">
        <v>75</v>
      </c>
      <c r="E359" s="1">
        <f>9.03</f>
        <v>9.0299999999999994</v>
      </c>
      <c r="F359" s="3">
        <f>Datos!C$3*'Resumen Atenuación tomas'!$E359</f>
        <v>1.0835999999999999</v>
      </c>
      <c r="G359" s="3">
        <f>Datos!D$3*'Resumen Atenuación tomas'!$E359</f>
        <v>1.3544999999999998</v>
      </c>
    </row>
    <row r="360" spans="3:7" hidden="1" x14ac:dyDescent="0.25">
      <c r="D360" s="2" t="s">
        <v>22</v>
      </c>
      <c r="F360" s="3">
        <f>Datos!C$21</f>
        <v>4</v>
      </c>
      <c r="G360" s="3">
        <f>Datos!D$21</f>
        <v>4</v>
      </c>
    </row>
    <row r="361" spans="3:7" x14ac:dyDescent="0.25">
      <c r="D361" s="2" t="s">
        <v>26</v>
      </c>
      <c r="F361" s="3">
        <f>SUM(F351:F360)</f>
        <v>40.808399999999999</v>
      </c>
      <c r="G361" s="3">
        <f>SUM(G351:G360)</f>
        <v>41.485500000000002</v>
      </c>
    </row>
    <row r="362" spans="3:7" x14ac:dyDescent="0.25">
      <c r="C362" s="2" t="s">
        <v>96</v>
      </c>
    </row>
    <row r="363" spans="3:7" hidden="1" x14ac:dyDescent="0.25">
      <c r="D363" s="2" t="s">
        <v>17</v>
      </c>
      <c r="E363" s="1">
        <f>3</f>
        <v>3</v>
      </c>
      <c r="F363" s="3">
        <f>Datos!C$3*'Resumen Atenuación tomas'!$E363</f>
        <v>0.36</v>
      </c>
      <c r="G363" s="3">
        <f>Datos!D$3*'Resumen Atenuación tomas'!$E363</f>
        <v>0.44999999999999996</v>
      </c>
    </row>
    <row r="364" spans="3:7" hidden="1" x14ac:dyDescent="0.25">
      <c r="D364" s="2" t="s">
        <v>50</v>
      </c>
      <c r="F364" s="3">
        <f>Datos!C$5</f>
        <v>0.8</v>
      </c>
      <c r="G364" s="3">
        <f>Datos!D$5</f>
        <v>0.8</v>
      </c>
    </row>
    <row r="365" spans="3:7" hidden="1" x14ac:dyDescent="0.25">
      <c r="D365" s="2" t="s">
        <v>51</v>
      </c>
      <c r="E365" s="1">
        <f>2.85</f>
        <v>2.85</v>
      </c>
      <c r="F365" s="3">
        <f>Datos!C$3*'Resumen Atenuación tomas'!$E365</f>
        <v>0.34199999999999997</v>
      </c>
      <c r="G365" s="3">
        <f>Datos!D$3*'Resumen Atenuación tomas'!$E365</f>
        <v>0.42749999999999999</v>
      </c>
    </row>
    <row r="366" spans="3:7" hidden="1" x14ac:dyDescent="0.25">
      <c r="D366" s="2" t="s">
        <v>90</v>
      </c>
      <c r="F366" s="3">
        <f>Datos!C$8</f>
        <v>3.3</v>
      </c>
      <c r="G366" s="3">
        <f>Datos!D$8</f>
        <v>3.3</v>
      </c>
    </row>
    <row r="367" spans="3:7" hidden="1" x14ac:dyDescent="0.25">
      <c r="D367" s="2" t="s">
        <v>51</v>
      </c>
      <c r="E367" s="1">
        <f>2.85</f>
        <v>2.85</v>
      </c>
      <c r="F367" s="3">
        <f>Datos!C$3*'Resumen Atenuación tomas'!$E367</f>
        <v>0.34199999999999997</v>
      </c>
      <c r="G367" s="3">
        <f>Datos!D$3*'Resumen Atenuación tomas'!$E367</f>
        <v>0.42749999999999999</v>
      </c>
    </row>
    <row r="368" spans="3:7" hidden="1" x14ac:dyDescent="0.25">
      <c r="D368" s="2" t="s">
        <v>54</v>
      </c>
      <c r="F368" s="3">
        <f>Datos!C$9</f>
        <v>17</v>
      </c>
      <c r="G368" s="3">
        <f>Datos!D$9</f>
        <v>17</v>
      </c>
    </row>
    <row r="369" spans="3:7" hidden="1" x14ac:dyDescent="0.25">
      <c r="D369" s="2" t="s">
        <v>74</v>
      </c>
      <c r="E369" s="1">
        <f>4.84</f>
        <v>4.84</v>
      </c>
      <c r="F369" s="3">
        <f>Datos!C$3*'Resumen Atenuación tomas'!$E369</f>
        <v>0.58079999999999998</v>
      </c>
      <c r="G369" s="3">
        <f>Datos!D$3*'Resumen Atenuación tomas'!$E369</f>
        <v>0.72599999999999998</v>
      </c>
    </row>
    <row r="370" spans="3:7" hidden="1" x14ac:dyDescent="0.25">
      <c r="D370" s="2" t="s">
        <v>55</v>
      </c>
      <c r="F370" s="3">
        <f>Datos!C$19</f>
        <v>13</v>
      </c>
      <c r="G370" s="3">
        <f>Datos!D$19</f>
        <v>13</v>
      </c>
    </row>
    <row r="371" spans="3:7" hidden="1" x14ac:dyDescent="0.25">
      <c r="D371" s="2" t="s">
        <v>80</v>
      </c>
      <c r="E371" s="1">
        <f>4.31</f>
        <v>4.3099999999999996</v>
      </c>
      <c r="F371" s="3">
        <f>Datos!C$3*'Resumen Atenuación tomas'!$E371</f>
        <v>0.51719999999999988</v>
      </c>
      <c r="G371" s="3">
        <f>Datos!D$3*'Resumen Atenuación tomas'!$E371</f>
        <v>0.64649999999999996</v>
      </c>
    </row>
    <row r="372" spans="3:7" hidden="1" x14ac:dyDescent="0.25">
      <c r="D372" s="2" t="s">
        <v>22</v>
      </c>
      <c r="F372" s="3">
        <f>Datos!C$21</f>
        <v>4</v>
      </c>
      <c r="G372" s="3">
        <f>Datos!D$21</f>
        <v>4</v>
      </c>
    </row>
    <row r="373" spans="3:7" x14ac:dyDescent="0.25">
      <c r="D373" s="2" t="s">
        <v>26</v>
      </c>
      <c r="F373" s="3">
        <f>SUM(F363:F372)</f>
        <v>40.242000000000004</v>
      </c>
      <c r="G373" s="3">
        <f>SUM(G363:G372)</f>
        <v>40.777500000000003</v>
      </c>
    </row>
    <row r="374" spans="3:7" x14ac:dyDescent="0.25">
      <c r="C374" s="2" t="s">
        <v>97</v>
      </c>
    </row>
    <row r="375" spans="3:7" hidden="1" x14ac:dyDescent="0.25">
      <c r="D375" s="2" t="s">
        <v>17</v>
      </c>
      <c r="E375" s="1">
        <f>3</f>
        <v>3</v>
      </c>
      <c r="F375" s="3">
        <f>Datos!C$3*'Resumen Atenuación tomas'!$E375</f>
        <v>0.36</v>
      </c>
      <c r="G375" s="3">
        <f>Datos!D$3*'Resumen Atenuación tomas'!$E375</f>
        <v>0.44999999999999996</v>
      </c>
    </row>
    <row r="376" spans="3:7" hidden="1" x14ac:dyDescent="0.25">
      <c r="D376" s="2" t="s">
        <v>50</v>
      </c>
      <c r="F376" s="3">
        <f>Datos!C$5</f>
        <v>0.8</v>
      </c>
      <c r="G376" s="3">
        <f>Datos!D$5</f>
        <v>0.8</v>
      </c>
    </row>
    <row r="377" spans="3:7" hidden="1" x14ac:dyDescent="0.25">
      <c r="D377" s="2" t="s">
        <v>51</v>
      </c>
      <c r="E377" s="1">
        <f>2.85</f>
        <v>2.85</v>
      </c>
      <c r="F377" s="3">
        <f>Datos!C$3*'Resumen Atenuación tomas'!$E377</f>
        <v>0.34199999999999997</v>
      </c>
      <c r="G377" s="3">
        <f>Datos!D$3*'Resumen Atenuación tomas'!$E377</f>
        <v>0.42749999999999999</v>
      </c>
    </row>
    <row r="378" spans="3:7" hidden="1" x14ac:dyDescent="0.25">
      <c r="D378" s="2" t="s">
        <v>90</v>
      </c>
      <c r="F378" s="3">
        <f>Datos!C$8</f>
        <v>3.3</v>
      </c>
      <c r="G378" s="3">
        <f>Datos!D$8</f>
        <v>3.3</v>
      </c>
    </row>
    <row r="379" spans="3:7" hidden="1" x14ac:dyDescent="0.25">
      <c r="D379" s="2" t="s">
        <v>51</v>
      </c>
      <c r="E379" s="1">
        <f>2.85</f>
        <v>2.85</v>
      </c>
      <c r="F379" s="3">
        <f>Datos!C$3*'Resumen Atenuación tomas'!$E379</f>
        <v>0.34199999999999997</v>
      </c>
      <c r="G379" s="3">
        <f>Datos!D$3*'Resumen Atenuación tomas'!$E379</f>
        <v>0.42749999999999999</v>
      </c>
    </row>
    <row r="380" spans="3:7" hidden="1" x14ac:dyDescent="0.25">
      <c r="D380" s="2" t="s">
        <v>54</v>
      </c>
      <c r="F380" s="3">
        <f>Datos!C$9</f>
        <v>17</v>
      </c>
      <c r="G380" s="3">
        <f>Datos!D$9</f>
        <v>17</v>
      </c>
    </row>
    <row r="381" spans="3:7" hidden="1" x14ac:dyDescent="0.25">
      <c r="D381" s="2" t="s">
        <v>74</v>
      </c>
      <c r="E381" s="1">
        <f>4.84</f>
        <v>4.84</v>
      </c>
      <c r="F381" s="3">
        <f>Datos!C$3*'Resumen Atenuación tomas'!$E381</f>
        <v>0.58079999999999998</v>
      </c>
      <c r="G381" s="3">
        <f>Datos!D$3*'Resumen Atenuación tomas'!$E381</f>
        <v>0.72599999999999998</v>
      </c>
    </row>
    <row r="382" spans="3:7" hidden="1" x14ac:dyDescent="0.25">
      <c r="D382" s="2" t="s">
        <v>55</v>
      </c>
      <c r="F382" s="3">
        <f>Datos!C$19</f>
        <v>13</v>
      </c>
      <c r="G382" s="3">
        <f>Datos!D$19</f>
        <v>13</v>
      </c>
    </row>
    <row r="383" spans="3:7" hidden="1" x14ac:dyDescent="0.25">
      <c r="D383" s="2" t="s">
        <v>81</v>
      </c>
      <c r="E383" s="1">
        <f>7.35</f>
        <v>7.35</v>
      </c>
      <c r="F383" s="3">
        <f>Datos!C$3*'Resumen Atenuación tomas'!$E383</f>
        <v>0.8819999999999999</v>
      </c>
      <c r="G383" s="3">
        <f>Datos!D$3*'Resumen Atenuación tomas'!$E383</f>
        <v>1.1024999999999998</v>
      </c>
    </row>
    <row r="384" spans="3:7" hidden="1" x14ac:dyDescent="0.25">
      <c r="D384" s="2" t="s">
        <v>22</v>
      </c>
      <c r="F384" s="3">
        <f>Datos!C$21</f>
        <v>4</v>
      </c>
      <c r="G384" s="3">
        <f>Datos!D$21</f>
        <v>4</v>
      </c>
    </row>
    <row r="385" spans="3:7" x14ac:dyDescent="0.25">
      <c r="D385" s="2" t="s">
        <v>26</v>
      </c>
      <c r="F385" s="3">
        <f>SUM(F375:F384)</f>
        <v>40.6068</v>
      </c>
      <c r="G385" s="3">
        <f>SUM(G375:G384)</f>
        <v>41.233499999999999</v>
      </c>
    </row>
    <row r="386" spans="3:7" x14ac:dyDescent="0.25">
      <c r="C386" s="2" t="s">
        <v>98</v>
      </c>
    </row>
    <row r="387" spans="3:7" hidden="1" x14ac:dyDescent="0.25">
      <c r="D387" s="2" t="s">
        <v>17</v>
      </c>
      <c r="E387" s="1">
        <f>3</f>
        <v>3</v>
      </c>
      <c r="F387" s="3">
        <f>Datos!C$3*'Resumen Atenuación tomas'!$E387</f>
        <v>0.36</v>
      </c>
      <c r="G387" s="3">
        <f>Datos!D$3*'Resumen Atenuación tomas'!$E387</f>
        <v>0.44999999999999996</v>
      </c>
    </row>
    <row r="388" spans="3:7" hidden="1" x14ac:dyDescent="0.25">
      <c r="D388" s="2" t="s">
        <v>50</v>
      </c>
      <c r="F388" s="3">
        <f>Datos!C$5</f>
        <v>0.8</v>
      </c>
      <c r="G388" s="3">
        <f>Datos!D$5</f>
        <v>0.8</v>
      </c>
    </row>
    <row r="389" spans="3:7" hidden="1" x14ac:dyDescent="0.25">
      <c r="D389" s="2" t="s">
        <v>51</v>
      </c>
      <c r="E389" s="1">
        <f>2.85</f>
        <v>2.85</v>
      </c>
      <c r="F389" s="3">
        <f>Datos!C$3*'Resumen Atenuación tomas'!$E389</f>
        <v>0.34199999999999997</v>
      </c>
      <c r="G389" s="3">
        <f>Datos!D$3*'Resumen Atenuación tomas'!$E389</f>
        <v>0.42749999999999999</v>
      </c>
    </row>
    <row r="390" spans="3:7" hidden="1" x14ac:dyDescent="0.25">
      <c r="D390" s="2" t="s">
        <v>90</v>
      </c>
      <c r="F390" s="3">
        <f>Datos!C$8</f>
        <v>3.3</v>
      </c>
      <c r="G390" s="3">
        <f>Datos!D$8</f>
        <v>3.3</v>
      </c>
    </row>
    <row r="391" spans="3:7" hidden="1" x14ac:dyDescent="0.25">
      <c r="D391" s="2" t="s">
        <v>51</v>
      </c>
      <c r="E391" s="1">
        <f>2.85</f>
        <v>2.85</v>
      </c>
      <c r="F391" s="3">
        <f>Datos!C$3*'Resumen Atenuación tomas'!$E391</f>
        <v>0.34199999999999997</v>
      </c>
      <c r="G391" s="3">
        <f>Datos!D$3*'Resumen Atenuación tomas'!$E391</f>
        <v>0.42749999999999999</v>
      </c>
    </row>
    <row r="392" spans="3:7" hidden="1" x14ac:dyDescent="0.25">
      <c r="D392" s="2" t="s">
        <v>54</v>
      </c>
      <c r="F392" s="3">
        <f>Datos!C$9</f>
        <v>17</v>
      </c>
      <c r="G392" s="3">
        <f>Datos!D$9</f>
        <v>17</v>
      </c>
    </row>
    <row r="393" spans="3:7" hidden="1" x14ac:dyDescent="0.25">
      <c r="D393" s="2" t="s">
        <v>74</v>
      </c>
      <c r="E393" s="1">
        <f>4.84</f>
        <v>4.84</v>
      </c>
      <c r="F393" s="3">
        <f>Datos!C$3*'Resumen Atenuación tomas'!$E393</f>
        <v>0.58079999999999998</v>
      </c>
      <c r="G393" s="3">
        <f>Datos!D$3*'Resumen Atenuación tomas'!$E393</f>
        <v>0.72599999999999998</v>
      </c>
    </row>
    <row r="394" spans="3:7" hidden="1" x14ac:dyDescent="0.25">
      <c r="D394" s="2" t="s">
        <v>55</v>
      </c>
      <c r="F394" s="3">
        <f>Datos!C$19</f>
        <v>13</v>
      </c>
      <c r="G394" s="3">
        <f>Datos!D$19</f>
        <v>13</v>
      </c>
    </row>
    <row r="395" spans="3:7" hidden="1" x14ac:dyDescent="0.25">
      <c r="D395" s="2" t="s">
        <v>82</v>
      </c>
      <c r="E395" s="1">
        <f>8.51</f>
        <v>8.51</v>
      </c>
      <c r="F395" s="3">
        <f>Datos!C$3*'Resumen Atenuación tomas'!$E395</f>
        <v>1.0211999999999999</v>
      </c>
      <c r="G395" s="3">
        <f>Datos!D$3*'Resumen Atenuación tomas'!$E395</f>
        <v>1.2765</v>
      </c>
    </row>
    <row r="396" spans="3:7" hidden="1" x14ac:dyDescent="0.25">
      <c r="D396" s="2" t="s">
        <v>22</v>
      </c>
      <c r="F396" s="3">
        <f>Datos!C$21</f>
        <v>4</v>
      </c>
      <c r="G396" s="3">
        <f>Datos!D$21</f>
        <v>4</v>
      </c>
    </row>
    <row r="397" spans="3:7" x14ac:dyDescent="0.25">
      <c r="D397" s="2" t="s">
        <v>26</v>
      </c>
      <c r="F397" s="3">
        <f>SUM(F387:F396)</f>
        <v>40.746000000000002</v>
      </c>
      <c r="G397" s="3">
        <f>SUM(G387:G396)</f>
        <v>41.407499999999999</v>
      </c>
    </row>
    <row r="398" spans="3:7" x14ac:dyDescent="0.25">
      <c r="C398" s="2" t="s">
        <v>99</v>
      </c>
    </row>
    <row r="399" spans="3:7" hidden="1" x14ac:dyDescent="0.25">
      <c r="D399" s="2" t="s">
        <v>17</v>
      </c>
      <c r="E399" s="1">
        <f>3</f>
        <v>3</v>
      </c>
      <c r="F399" s="3">
        <f>Datos!C$3*'Resumen Atenuación tomas'!$E399</f>
        <v>0.36</v>
      </c>
      <c r="G399" s="3">
        <f>Datos!D$3*'Resumen Atenuación tomas'!$E399</f>
        <v>0.44999999999999996</v>
      </c>
    </row>
    <row r="400" spans="3:7" hidden="1" x14ac:dyDescent="0.25">
      <c r="D400" s="2" t="s">
        <v>50</v>
      </c>
      <c r="F400" s="3">
        <f>Datos!C$5</f>
        <v>0.8</v>
      </c>
      <c r="G400" s="3">
        <f>Datos!D$5</f>
        <v>0.8</v>
      </c>
    </row>
    <row r="401" spans="1:7" hidden="1" x14ac:dyDescent="0.25">
      <c r="D401" s="2" t="s">
        <v>51</v>
      </c>
      <c r="E401" s="1">
        <f>2.85</f>
        <v>2.85</v>
      </c>
      <c r="F401" s="3">
        <f>Datos!C$3*'Resumen Atenuación tomas'!$E401</f>
        <v>0.34199999999999997</v>
      </c>
      <c r="G401" s="3">
        <f>Datos!D$3*'Resumen Atenuación tomas'!$E401</f>
        <v>0.42749999999999999</v>
      </c>
    </row>
    <row r="402" spans="1:7" hidden="1" x14ac:dyDescent="0.25">
      <c r="D402" s="2" t="s">
        <v>90</v>
      </c>
      <c r="F402" s="3">
        <f>Datos!C$8</f>
        <v>3.3</v>
      </c>
      <c r="G402" s="3">
        <f>Datos!D$8</f>
        <v>3.3</v>
      </c>
    </row>
    <row r="403" spans="1:7" hidden="1" x14ac:dyDescent="0.25">
      <c r="D403" s="2" t="s">
        <v>51</v>
      </c>
      <c r="E403" s="1">
        <f>2.85</f>
        <v>2.85</v>
      </c>
      <c r="F403" s="3">
        <f>Datos!C$3*'Resumen Atenuación tomas'!$E403</f>
        <v>0.34199999999999997</v>
      </c>
      <c r="G403" s="3">
        <f>Datos!D$3*'Resumen Atenuación tomas'!$E403</f>
        <v>0.42749999999999999</v>
      </c>
    </row>
    <row r="404" spans="1:7" hidden="1" x14ac:dyDescent="0.25">
      <c r="D404" s="2" t="s">
        <v>54</v>
      </c>
      <c r="F404" s="3">
        <f>Datos!C$9</f>
        <v>17</v>
      </c>
      <c r="G404" s="3">
        <f>Datos!D$9</f>
        <v>17</v>
      </c>
    </row>
    <row r="405" spans="1:7" hidden="1" x14ac:dyDescent="0.25">
      <c r="D405" s="2" t="s">
        <v>74</v>
      </c>
      <c r="E405" s="1">
        <f>4.84</f>
        <v>4.84</v>
      </c>
      <c r="F405" s="3">
        <f>Datos!C$3*'Resumen Atenuación tomas'!$E405</f>
        <v>0.58079999999999998</v>
      </c>
      <c r="G405" s="3">
        <f>Datos!D$3*'Resumen Atenuación tomas'!$E405</f>
        <v>0.72599999999999998</v>
      </c>
    </row>
    <row r="406" spans="1:7" hidden="1" x14ac:dyDescent="0.25">
      <c r="D406" s="2" t="s">
        <v>55</v>
      </c>
      <c r="F406" s="3">
        <f>Datos!C$19</f>
        <v>13</v>
      </c>
      <c r="G406" s="3">
        <f>Datos!D$19</f>
        <v>13</v>
      </c>
    </row>
    <row r="407" spans="1:7" hidden="1" x14ac:dyDescent="0.25">
      <c r="D407" s="2" t="s">
        <v>83</v>
      </c>
      <c r="E407" s="1">
        <f>10.12</f>
        <v>10.119999999999999</v>
      </c>
      <c r="F407" s="3">
        <f>Datos!C$3*'Resumen Atenuación tomas'!$E407</f>
        <v>1.2143999999999999</v>
      </c>
      <c r="G407" s="3">
        <f>Datos!D$3*'Resumen Atenuación tomas'!$E407</f>
        <v>1.5179999999999998</v>
      </c>
    </row>
    <row r="408" spans="1:7" hidden="1" x14ac:dyDescent="0.25">
      <c r="D408" s="2" t="s">
        <v>22</v>
      </c>
      <c r="F408" s="3">
        <f>Datos!C$21</f>
        <v>4</v>
      </c>
      <c r="G408" s="3">
        <f>Datos!D$21</f>
        <v>4</v>
      </c>
    </row>
    <row r="409" spans="1:7" x14ac:dyDescent="0.25">
      <c r="D409" s="2" t="s">
        <v>26</v>
      </c>
      <c r="F409" s="3">
        <f>SUM(F399:F408)</f>
        <v>40.9392</v>
      </c>
      <c r="G409" s="3">
        <f>SUM(G399:G408)</f>
        <v>41.649000000000001</v>
      </c>
    </row>
    <row r="410" spans="1:7" x14ac:dyDescent="0.25">
      <c r="A410" s="2" t="s">
        <v>100</v>
      </c>
    </row>
    <row r="411" spans="1:7" x14ac:dyDescent="0.25">
      <c r="B411" s="2" t="s">
        <v>14</v>
      </c>
    </row>
    <row r="412" spans="1:7" x14ac:dyDescent="0.25">
      <c r="C412" s="2" t="s">
        <v>101</v>
      </c>
    </row>
    <row r="413" spans="1:7" hidden="1" x14ac:dyDescent="0.25">
      <c r="D413" s="2" t="s">
        <v>17</v>
      </c>
      <c r="E413" s="1">
        <f>3</f>
        <v>3</v>
      </c>
      <c r="F413" s="3">
        <f>Datos!C$3*'Resumen Atenuación tomas'!$E413</f>
        <v>0.36</v>
      </c>
      <c r="G413" s="3">
        <f>Datos!D$3*'Resumen Atenuación tomas'!$E413</f>
        <v>0.44999999999999996</v>
      </c>
    </row>
    <row r="414" spans="1:7" hidden="1" x14ac:dyDescent="0.25">
      <c r="D414" s="2" t="s">
        <v>50</v>
      </c>
      <c r="F414" s="3">
        <f>Datos!C$5</f>
        <v>0.8</v>
      </c>
      <c r="G414" s="3">
        <f>Datos!D$5</f>
        <v>0.8</v>
      </c>
    </row>
    <row r="415" spans="1:7" hidden="1" x14ac:dyDescent="0.25">
      <c r="D415" s="2" t="s">
        <v>51</v>
      </c>
      <c r="E415" s="1">
        <f>2.85</f>
        <v>2.85</v>
      </c>
      <c r="F415" s="3">
        <f>Datos!C$3*'Resumen Atenuación tomas'!$E415</f>
        <v>0.34199999999999997</v>
      </c>
      <c r="G415" s="3">
        <f>Datos!D$3*'Resumen Atenuación tomas'!$E415</f>
        <v>0.42749999999999999</v>
      </c>
    </row>
    <row r="416" spans="1:7" hidden="1" x14ac:dyDescent="0.25">
      <c r="D416" s="2" t="s">
        <v>90</v>
      </c>
      <c r="F416" s="3">
        <f>Datos!C$8</f>
        <v>3.3</v>
      </c>
      <c r="G416" s="3">
        <f>Datos!D$8</f>
        <v>3.3</v>
      </c>
    </row>
    <row r="417" spans="3:7" hidden="1" x14ac:dyDescent="0.25">
      <c r="D417" s="2" t="s">
        <v>51</v>
      </c>
      <c r="E417" s="1">
        <f>2.85</f>
        <v>2.85</v>
      </c>
      <c r="F417" s="3">
        <f>Datos!C$3*'Resumen Atenuación tomas'!$E417</f>
        <v>0.34199999999999997</v>
      </c>
      <c r="G417" s="3">
        <f>Datos!D$3*'Resumen Atenuación tomas'!$E417</f>
        <v>0.42749999999999999</v>
      </c>
    </row>
    <row r="418" spans="3:7" hidden="1" x14ac:dyDescent="0.25">
      <c r="D418" s="2" t="s">
        <v>90</v>
      </c>
      <c r="F418" s="3">
        <f>Datos!C$8</f>
        <v>3.3</v>
      </c>
      <c r="G418" s="3">
        <f>Datos!D$8</f>
        <v>3.3</v>
      </c>
    </row>
    <row r="419" spans="3:7" hidden="1" x14ac:dyDescent="0.25">
      <c r="D419" s="2" t="s">
        <v>51</v>
      </c>
      <c r="E419" s="1">
        <f>2.85</f>
        <v>2.85</v>
      </c>
      <c r="F419" s="3">
        <f>Datos!C$3*'Resumen Atenuación tomas'!$E419</f>
        <v>0.34199999999999997</v>
      </c>
      <c r="G419" s="3">
        <f>Datos!D$3*'Resumen Atenuación tomas'!$E419</f>
        <v>0.42749999999999999</v>
      </c>
    </row>
    <row r="420" spans="3:7" hidden="1" x14ac:dyDescent="0.25">
      <c r="D420" s="2" t="s">
        <v>102</v>
      </c>
      <c r="F420" s="3">
        <f>Datos!C$12</f>
        <v>13</v>
      </c>
      <c r="G420" s="3">
        <f>Datos!D$12</f>
        <v>13</v>
      </c>
    </row>
    <row r="421" spans="3:7" hidden="1" x14ac:dyDescent="0.25">
      <c r="D421" s="2" t="s">
        <v>52</v>
      </c>
      <c r="E421" s="1">
        <f>1.12</f>
        <v>1.1200000000000001</v>
      </c>
      <c r="F421" s="3">
        <f>Datos!C$3*'Resumen Atenuación tomas'!$E421</f>
        <v>0.13440000000000002</v>
      </c>
      <c r="G421" s="3">
        <f>Datos!D$3*'Resumen Atenuación tomas'!$E421</f>
        <v>0.16800000000000001</v>
      </c>
    </row>
    <row r="422" spans="3:7" hidden="1" x14ac:dyDescent="0.25">
      <c r="D422" s="2" t="s">
        <v>55</v>
      </c>
      <c r="F422" s="3">
        <f>Datos!C$19</f>
        <v>13</v>
      </c>
      <c r="G422" s="3">
        <f>Datos!D$19</f>
        <v>13</v>
      </c>
    </row>
    <row r="423" spans="3:7" hidden="1" x14ac:dyDescent="0.25">
      <c r="D423" s="2" t="s">
        <v>53</v>
      </c>
      <c r="E423" s="1">
        <f>13.92</f>
        <v>13.92</v>
      </c>
      <c r="F423" s="3">
        <f>Datos!C$3*'Resumen Atenuación tomas'!$E423</f>
        <v>1.6703999999999999</v>
      </c>
      <c r="G423" s="3">
        <f>Datos!D$3*'Resumen Atenuación tomas'!$E423</f>
        <v>2.0880000000000001</v>
      </c>
    </row>
    <row r="424" spans="3:7" hidden="1" x14ac:dyDescent="0.25">
      <c r="D424" s="2" t="s">
        <v>22</v>
      </c>
      <c r="F424" s="3">
        <f>Datos!C$21</f>
        <v>4</v>
      </c>
      <c r="G424" s="3">
        <f>Datos!D$21</f>
        <v>4</v>
      </c>
    </row>
    <row r="425" spans="3:7" x14ac:dyDescent="0.25">
      <c r="D425" s="2" t="s">
        <v>26</v>
      </c>
      <c r="F425" s="3">
        <f>SUM(F413:F424)</f>
        <v>40.590800000000002</v>
      </c>
      <c r="G425" s="3">
        <f>SUM(G413:G424)</f>
        <v>41.388500000000001</v>
      </c>
    </row>
    <row r="426" spans="3:7" x14ac:dyDescent="0.25">
      <c r="C426" s="2" t="s">
        <v>103</v>
      </c>
    </row>
    <row r="427" spans="3:7" hidden="1" x14ac:dyDescent="0.25">
      <c r="D427" s="2" t="s">
        <v>17</v>
      </c>
      <c r="E427" s="1">
        <f>3</f>
        <v>3</v>
      </c>
      <c r="F427" s="3">
        <f>Datos!C$3*'Resumen Atenuación tomas'!$E427</f>
        <v>0.36</v>
      </c>
      <c r="G427" s="3">
        <f>Datos!D$3*'Resumen Atenuación tomas'!$E427</f>
        <v>0.44999999999999996</v>
      </c>
    </row>
    <row r="428" spans="3:7" hidden="1" x14ac:dyDescent="0.25">
      <c r="D428" s="2" t="s">
        <v>50</v>
      </c>
      <c r="F428" s="3">
        <f>Datos!C$5</f>
        <v>0.8</v>
      </c>
      <c r="G428" s="3">
        <f>Datos!D$5</f>
        <v>0.8</v>
      </c>
    </row>
    <row r="429" spans="3:7" hidden="1" x14ac:dyDescent="0.25">
      <c r="D429" s="2" t="s">
        <v>51</v>
      </c>
      <c r="E429" s="1">
        <f>2.85</f>
        <v>2.85</v>
      </c>
      <c r="F429" s="3">
        <f>Datos!C$3*'Resumen Atenuación tomas'!$E429</f>
        <v>0.34199999999999997</v>
      </c>
      <c r="G429" s="3">
        <f>Datos!D$3*'Resumen Atenuación tomas'!$E429</f>
        <v>0.42749999999999999</v>
      </c>
    </row>
    <row r="430" spans="3:7" hidden="1" x14ac:dyDescent="0.25">
      <c r="D430" s="2" t="s">
        <v>90</v>
      </c>
      <c r="F430" s="3">
        <f>Datos!C$8</f>
        <v>3.3</v>
      </c>
      <c r="G430" s="3">
        <f>Datos!D$8</f>
        <v>3.3</v>
      </c>
    </row>
    <row r="431" spans="3:7" hidden="1" x14ac:dyDescent="0.25">
      <c r="D431" s="2" t="s">
        <v>51</v>
      </c>
      <c r="E431" s="1">
        <f>2.85</f>
        <v>2.85</v>
      </c>
      <c r="F431" s="3">
        <f>Datos!C$3*'Resumen Atenuación tomas'!$E431</f>
        <v>0.34199999999999997</v>
      </c>
      <c r="G431" s="3">
        <f>Datos!D$3*'Resumen Atenuación tomas'!$E431</f>
        <v>0.42749999999999999</v>
      </c>
    </row>
    <row r="432" spans="3:7" hidden="1" x14ac:dyDescent="0.25">
      <c r="D432" s="2" t="s">
        <v>90</v>
      </c>
      <c r="F432" s="3">
        <f>Datos!C$8</f>
        <v>3.3</v>
      </c>
      <c r="G432" s="3">
        <f>Datos!D$8</f>
        <v>3.3</v>
      </c>
    </row>
    <row r="433" spans="3:7" hidden="1" x14ac:dyDescent="0.25">
      <c r="D433" s="2" t="s">
        <v>51</v>
      </c>
      <c r="E433" s="1">
        <f>2.85</f>
        <v>2.85</v>
      </c>
      <c r="F433" s="3">
        <f>Datos!C$3*'Resumen Atenuación tomas'!$E433</f>
        <v>0.34199999999999997</v>
      </c>
      <c r="G433" s="3">
        <f>Datos!D$3*'Resumen Atenuación tomas'!$E433</f>
        <v>0.42749999999999999</v>
      </c>
    </row>
    <row r="434" spans="3:7" hidden="1" x14ac:dyDescent="0.25">
      <c r="D434" s="2" t="s">
        <v>102</v>
      </c>
      <c r="F434" s="3">
        <f>Datos!C$12</f>
        <v>13</v>
      </c>
      <c r="G434" s="3">
        <f>Datos!D$12</f>
        <v>13</v>
      </c>
    </row>
    <row r="435" spans="3:7" hidden="1" x14ac:dyDescent="0.25">
      <c r="D435" s="2" t="s">
        <v>52</v>
      </c>
      <c r="E435" s="1">
        <f>1.12</f>
        <v>1.1200000000000001</v>
      </c>
      <c r="F435" s="3">
        <f>Datos!C$3*'Resumen Atenuación tomas'!$E435</f>
        <v>0.13440000000000002</v>
      </c>
      <c r="G435" s="3">
        <f>Datos!D$3*'Resumen Atenuación tomas'!$E435</f>
        <v>0.16800000000000001</v>
      </c>
    </row>
    <row r="436" spans="3:7" hidden="1" x14ac:dyDescent="0.25">
      <c r="D436" s="2" t="s">
        <v>55</v>
      </c>
      <c r="F436" s="3">
        <f>Datos!C$19</f>
        <v>13</v>
      </c>
      <c r="G436" s="3">
        <f>Datos!D$19</f>
        <v>13</v>
      </c>
    </row>
    <row r="437" spans="3:7" hidden="1" x14ac:dyDescent="0.25">
      <c r="D437" s="2" t="s">
        <v>60</v>
      </c>
      <c r="E437" s="1">
        <f>6.13</f>
        <v>6.13</v>
      </c>
      <c r="F437" s="3">
        <f>Datos!C$3*'Resumen Atenuación tomas'!$E437</f>
        <v>0.73559999999999992</v>
      </c>
      <c r="G437" s="3">
        <f>Datos!D$3*'Resumen Atenuación tomas'!$E437</f>
        <v>0.91949999999999998</v>
      </c>
    </row>
    <row r="438" spans="3:7" hidden="1" x14ac:dyDescent="0.25">
      <c r="D438" s="2" t="s">
        <v>22</v>
      </c>
      <c r="F438" s="3">
        <f>Datos!C$21</f>
        <v>4</v>
      </c>
      <c r="G438" s="3">
        <f>Datos!D$21</f>
        <v>4</v>
      </c>
    </row>
    <row r="439" spans="3:7" x14ac:dyDescent="0.25">
      <c r="D439" s="2" t="s">
        <v>26</v>
      </c>
      <c r="F439" s="3">
        <f>SUM(F427:F438)</f>
        <v>39.655999999999999</v>
      </c>
      <c r="G439" s="3">
        <f>SUM(G427:G438)</f>
        <v>40.22</v>
      </c>
    </row>
    <row r="440" spans="3:7" x14ac:dyDescent="0.25">
      <c r="C440" s="2" t="s">
        <v>104</v>
      </c>
    </row>
    <row r="441" spans="3:7" hidden="1" x14ac:dyDescent="0.25">
      <c r="D441" s="2" t="s">
        <v>17</v>
      </c>
      <c r="E441" s="1">
        <f>3</f>
        <v>3</v>
      </c>
      <c r="F441" s="3">
        <f>Datos!C$3*'Resumen Atenuación tomas'!$E441</f>
        <v>0.36</v>
      </c>
      <c r="G441" s="3">
        <f>Datos!D$3*'Resumen Atenuación tomas'!$E441</f>
        <v>0.44999999999999996</v>
      </c>
    </row>
    <row r="442" spans="3:7" hidden="1" x14ac:dyDescent="0.25">
      <c r="D442" s="2" t="s">
        <v>50</v>
      </c>
      <c r="F442" s="3">
        <f>Datos!C$5</f>
        <v>0.8</v>
      </c>
      <c r="G442" s="3">
        <f>Datos!D$5</f>
        <v>0.8</v>
      </c>
    </row>
    <row r="443" spans="3:7" hidden="1" x14ac:dyDescent="0.25">
      <c r="D443" s="2" t="s">
        <v>51</v>
      </c>
      <c r="E443" s="1">
        <f>2.85</f>
        <v>2.85</v>
      </c>
      <c r="F443" s="3">
        <f>Datos!C$3*'Resumen Atenuación tomas'!$E443</f>
        <v>0.34199999999999997</v>
      </c>
      <c r="G443" s="3">
        <f>Datos!D$3*'Resumen Atenuación tomas'!$E443</f>
        <v>0.42749999999999999</v>
      </c>
    </row>
    <row r="444" spans="3:7" hidden="1" x14ac:dyDescent="0.25">
      <c r="D444" s="2" t="s">
        <v>90</v>
      </c>
      <c r="F444" s="3">
        <f>Datos!C$8</f>
        <v>3.3</v>
      </c>
      <c r="G444" s="3">
        <f>Datos!D$8</f>
        <v>3.3</v>
      </c>
    </row>
    <row r="445" spans="3:7" hidden="1" x14ac:dyDescent="0.25">
      <c r="D445" s="2" t="s">
        <v>51</v>
      </c>
      <c r="E445" s="1">
        <f>2.85</f>
        <v>2.85</v>
      </c>
      <c r="F445" s="3">
        <f>Datos!C$3*'Resumen Atenuación tomas'!$E445</f>
        <v>0.34199999999999997</v>
      </c>
      <c r="G445" s="3">
        <f>Datos!D$3*'Resumen Atenuación tomas'!$E445</f>
        <v>0.42749999999999999</v>
      </c>
    </row>
    <row r="446" spans="3:7" hidden="1" x14ac:dyDescent="0.25">
      <c r="D446" s="2" t="s">
        <v>90</v>
      </c>
      <c r="F446" s="3">
        <f>Datos!C$8</f>
        <v>3.3</v>
      </c>
      <c r="G446" s="3">
        <f>Datos!D$8</f>
        <v>3.3</v>
      </c>
    </row>
    <row r="447" spans="3:7" hidden="1" x14ac:dyDescent="0.25">
      <c r="D447" s="2" t="s">
        <v>51</v>
      </c>
      <c r="E447" s="1">
        <f>2.85</f>
        <v>2.85</v>
      </c>
      <c r="F447" s="3">
        <f>Datos!C$3*'Resumen Atenuación tomas'!$E447</f>
        <v>0.34199999999999997</v>
      </c>
      <c r="G447" s="3">
        <f>Datos!D$3*'Resumen Atenuación tomas'!$E447</f>
        <v>0.42749999999999999</v>
      </c>
    </row>
    <row r="448" spans="3:7" hidden="1" x14ac:dyDescent="0.25">
      <c r="D448" s="2" t="s">
        <v>102</v>
      </c>
      <c r="F448" s="3">
        <f>Datos!C$12</f>
        <v>13</v>
      </c>
      <c r="G448" s="3">
        <f>Datos!D$12</f>
        <v>13</v>
      </c>
    </row>
    <row r="449" spans="3:7" hidden="1" x14ac:dyDescent="0.25">
      <c r="D449" s="2" t="s">
        <v>52</v>
      </c>
      <c r="E449" s="1">
        <f>1.12</f>
        <v>1.1200000000000001</v>
      </c>
      <c r="F449" s="3">
        <f>Datos!C$3*'Resumen Atenuación tomas'!$E449</f>
        <v>0.13440000000000002</v>
      </c>
      <c r="G449" s="3">
        <f>Datos!D$3*'Resumen Atenuación tomas'!$E449</f>
        <v>0.16800000000000001</v>
      </c>
    </row>
    <row r="450" spans="3:7" hidden="1" x14ac:dyDescent="0.25">
      <c r="D450" s="2" t="s">
        <v>55</v>
      </c>
      <c r="F450" s="3">
        <f>Datos!C$19</f>
        <v>13</v>
      </c>
      <c r="G450" s="3">
        <f>Datos!D$19</f>
        <v>13</v>
      </c>
    </row>
    <row r="451" spans="3:7" hidden="1" x14ac:dyDescent="0.25">
      <c r="D451" s="2" t="s">
        <v>61</v>
      </c>
      <c r="E451" s="1">
        <f>8</f>
        <v>8</v>
      </c>
      <c r="F451" s="3">
        <f>Datos!C$3*'Resumen Atenuación tomas'!$E451</f>
        <v>0.96</v>
      </c>
      <c r="G451" s="3">
        <f>Datos!D$3*'Resumen Atenuación tomas'!$E451</f>
        <v>1.2</v>
      </c>
    </row>
    <row r="452" spans="3:7" hidden="1" x14ac:dyDescent="0.25">
      <c r="D452" s="2" t="s">
        <v>22</v>
      </c>
      <c r="F452" s="3">
        <f>Datos!C$21</f>
        <v>4</v>
      </c>
      <c r="G452" s="3">
        <f>Datos!D$21</f>
        <v>4</v>
      </c>
    </row>
    <row r="453" spans="3:7" x14ac:dyDescent="0.25">
      <c r="D453" s="2" t="s">
        <v>26</v>
      </c>
      <c r="F453" s="3">
        <f>SUM(F441:F452)</f>
        <v>39.880400000000002</v>
      </c>
      <c r="G453" s="3">
        <f>SUM(G441:G452)</f>
        <v>40.500500000000002</v>
      </c>
    </row>
    <row r="454" spans="3:7" x14ac:dyDescent="0.25">
      <c r="C454" s="2" t="s">
        <v>105</v>
      </c>
    </row>
    <row r="455" spans="3:7" hidden="1" x14ac:dyDescent="0.25">
      <c r="D455" s="2" t="s">
        <v>17</v>
      </c>
      <c r="E455" s="1">
        <f>3</f>
        <v>3</v>
      </c>
      <c r="F455" s="3">
        <f>Datos!C$3*'Resumen Atenuación tomas'!$E455</f>
        <v>0.36</v>
      </c>
      <c r="G455" s="3">
        <f>Datos!D$3*'Resumen Atenuación tomas'!$E455</f>
        <v>0.44999999999999996</v>
      </c>
    </row>
    <row r="456" spans="3:7" hidden="1" x14ac:dyDescent="0.25">
      <c r="D456" s="2" t="s">
        <v>50</v>
      </c>
      <c r="F456" s="3">
        <f>Datos!C$5</f>
        <v>0.8</v>
      </c>
      <c r="G456" s="3">
        <f>Datos!D$5</f>
        <v>0.8</v>
      </c>
    </row>
    <row r="457" spans="3:7" hidden="1" x14ac:dyDescent="0.25">
      <c r="D457" s="2" t="s">
        <v>51</v>
      </c>
      <c r="E457" s="1">
        <f>2.85</f>
        <v>2.85</v>
      </c>
      <c r="F457" s="3">
        <f>Datos!C$3*'Resumen Atenuación tomas'!$E457</f>
        <v>0.34199999999999997</v>
      </c>
      <c r="G457" s="3">
        <f>Datos!D$3*'Resumen Atenuación tomas'!$E457</f>
        <v>0.42749999999999999</v>
      </c>
    </row>
    <row r="458" spans="3:7" hidden="1" x14ac:dyDescent="0.25">
      <c r="D458" s="2" t="s">
        <v>90</v>
      </c>
      <c r="F458" s="3">
        <f>Datos!C$8</f>
        <v>3.3</v>
      </c>
      <c r="G458" s="3">
        <f>Datos!D$8</f>
        <v>3.3</v>
      </c>
    </row>
    <row r="459" spans="3:7" hidden="1" x14ac:dyDescent="0.25">
      <c r="D459" s="2" t="s">
        <v>51</v>
      </c>
      <c r="E459" s="1">
        <f>2.85</f>
        <v>2.85</v>
      </c>
      <c r="F459" s="3">
        <f>Datos!C$3*'Resumen Atenuación tomas'!$E459</f>
        <v>0.34199999999999997</v>
      </c>
      <c r="G459" s="3">
        <f>Datos!D$3*'Resumen Atenuación tomas'!$E459</f>
        <v>0.42749999999999999</v>
      </c>
    </row>
    <row r="460" spans="3:7" hidden="1" x14ac:dyDescent="0.25">
      <c r="D460" s="2" t="s">
        <v>90</v>
      </c>
      <c r="F460" s="3">
        <f>Datos!C$8</f>
        <v>3.3</v>
      </c>
      <c r="G460" s="3">
        <f>Datos!D$8</f>
        <v>3.3</v>
      </c>
    </row>
    <row r="461" spans="3:7" hidden="1" x14ac:dyDescent="0.25">
      <c r="D461" s="2" t="s">
        <v>51</v>
      </c>
      <c r="E461" s="1">
        <f>2.85</f>
        <v>2.85</v>
      </c>
      <c r="F461" s="3">
        <f>Datos!C$3*'Resumen Atenuación tomas'!$E461</f>
        <v>0.34199999999999997</v>
      </c>
      <c r="G461" s="3">
        <f>Datos!D$3*'Resumen Atenuación tomas'!$E461</f>
        <v>0.42749999999999999</v>
      </c>
    </row>
    <row r="462" spans="3:7" hidden="1" x14ac:dyDescent="0.25">
      <c r="D462" s="2" t="s">
        <v>102</v>
      </c>
      <c r="F462" s="3">
        <f>Datos!C$12</f>
        <v>13</v>
      </c>
      <c r="G462" s="3">
        <f>Datos!D$12</f>
        <v>13</v>
      </c>
    </row>
    <row r="463" spans="3:7" hidden="1" x14ac:dyDescent="0.25">
      <c r="D463" s="2" t="s">
        <v>52</v>
      </c>
      <c r="E463" s="1">
        <f>1.12</f>
        <v>1.1200000000000001</v>
      </c>
      <c r="F463" s="3">
        <f>Datos!C$3*'Resumen Atenuación tomas'!$E463</f>
        <v>0.13440000000000002</v>
      </c>
      <c r="G463" s="3">
        <f>Datos!D$3*'Resumen Atenuación tomas'!$E463</f>
        <v>0.16800000000000001</v>
      </c>
    </row>
    <row r="464" spans="3:7" hidden="1" x14ac:dyDescent="0.25">
      <c r="D464" s="2" t="s">
        <v>55</v>
      </c>
      <c r="F464" s="3">
        <f>Datos!C$19</f>
        <v>13</v>
      </c>
      <c r="G464" s="3">
        <f>Datos!D$19</f>
        <v>13</v>
      </c>
    </row>
    <row r="465" spans="3:7" hidden="1" x14ac:dyDescent="0.25">
      <c r="D465" s="2" t="s">
        <v>62</v>
      </c>
      <c r="E465" s="1">
        <f>7.74</f>
        <v>7.74</v>
      </c>
      <c r="F465" s="3">
        <f>Datos!C$3*'Resumen Atenuación tomas'!$E465</f>
        <v>0.92879999999999996</v>
      </c>
      <c r="G465" s="3">
        <f>Datos!D$3*'Resumen Atenuación tomas'!$E465</f>
        <v>1.161</v>
      </c>
    </row>
    <row r="466" spans="3:7" hidden="1" x14ac:dyDescent="0.25">
      <c r="D466" s="2" t="s">
        <v>22</v>
      </c>
      <c r="F466" s="3">
        <f>Datos!C$21</f>
        <v>4</v>
      </c>
      <c r="G466" s="3">
        <f>Datos!D$21</f>
        <v>4</v>
      </c>
    </row>
    <row r="467" spans="3:7" x14ac:dyDescent="0.25">
      <c r="D467" s="2" t="s">
        <v>26</v>
      </c>
      <c r="F467" s="3">
        <f>SUM(F455:F466)</f>
        <v>39.849200000000003</v>
      </c>
      <c r="G467" s="3">
        <f>SUM(G455:G466)</f>
        <v>40.461500000000001</v>
      </c>
    </row>
    <row r="468" spans="3:7" x14ac:dyDescent="0.25">
      <c r="C468" s="2" t="s">
        <v>106</v>
      </c>
    </row>
    <row r="469" spans="3:7" hidden="1" x14ac:dyDescent="0.25">
      <c r="D469" s="2" t="s">
        <v>17</v>
      </c>
      <c r="E469" s="1">
        <f>3</f>
        <v>3</v>
      </c>
      <c r="F469" s="3">
        <f>Datos!C$3*'Resumen Atenuación tomas'!$E469</f>
        <v>0.36</v>
      </c>
      <c r="G469" s="3">
        <f>Datos!D$3*'Resumen Atenuación tomas'!$E469</f>
        <v>0.44999999999999996</v>
      </c>
    </row>
    <row r="470" spans="3:7" hidden="1" x14ac:dyDescent="0.25">
      <c r="D470" s="2" t="s">
        <v>50</v>
      </c>
      <c r="F470" s="3">
        <f>Datos!C$5</f>
        <v>0.8</v>
      </c>
      <c r="G470" s="3">
        <f>Datos!D$5</f>
        <v>0.8</v>
      </c>
    </row>
    <row r="471" spans="3:7" hidden="1" x14ac:dyDescent="0.25">
      <c r="D471" s="2" t="s">
        <v>51</v>
      </c>
      <c r="E471" s="1">
        <f>2.85</f>
        <v>2.85</v>
      </c>
      <c r="F471" s="3">
        <f>Datos!C$3*'Resumen Atenuación tomas'!$E471</f>
        <v>0.34199999999999997</v>
      </c>
      <c r="G471" s="3">
        <f>Datos!D$3*'Resumen Atenuación tomas'!$E471</f>
        <v>0.42749999999999999</v>
      </c>
    </row>
    <row r="472" spans="3:7" hidden="1" x14ac:dyDescent="0.25">
      <c r="D472" s="2" t="s">
        <v>90</v>
      </c>
      <c r="F472" s="3">
        <f>Datos!C$8</f>
        <v>3.3</v>
      </c>
      <c r="G472" s="3">
        <f>Datos!D$8</f>
        <v>3.3</v>
      </c>
    </row>
    <row r="473" spans="3:7" hidden="1" x14ac:dyDescent="0.25">
      <c r="D473" s="2" t="s">
        <v>51</v>
      </c>
      <c r="E473" s="1">
        <f>2.85</f>
        <v>2.85</v>
      </c>
      <c r="F473" s="3">
        <f>Datos!C$3*'Resumen Atenuación tomas'!$E473</f>
        <v>0.34199999999999997</v>
      </c>
      <c r="G473" s="3">
        <f>Datos!D$3*'Resumen Atenuación tomas'!$E473</f>
        <v>0.42749999999999999</v>
      </c>
    </row>
    <row r="474" spans="3:7" hidden="1" x14ac:dyDescent="0.25">
      <c r="D474" s="2" t="s">
        <v>90</v>
      </c>
      <c r="F474" s="3">
        <f>Datos!C$8</f>
        <v>3.3</v>
      </c>
      <c r="G474" s="3">
        <f>Datos!D$8</f>
        <v>3.3</v>
      </c>
    </row>
    <row r="475" spans="3:7" hidden="1" x14ac:dyDescent="0.25">
      <c r="D475" s="2" t="s">
        <v>51</v>
      </c>
      <c r="E475" s="1">
        <f>2.85</f>
        <v>2.85</v>
      </c>
      <c r="F475" s="3">
        <f>Datos!C$3*'Resumen Atenuación tomas'!$E475</f>
        <v>0.34199999999999997</v>
      </c>
      <c r="G475" s="3">
        <f>Datos!D$3*'Resumen Atenuación tomas'!$E475</f>
        <v>0.42749999999999999</v>
      </c>
    </row>
    <row r="476" spans="3:7" hidden="1" x14ac:dyDescent="0.25">
      <c r="D476" s="2" t="s">
        <v>102</v>
      </c>
      <c r="F476" s="3">
        <f>Datos!C$12</f>
        <v>13</v>
      </c>
      <c r="G476" s="3">
        <f>Datos!D$12</f>
        <v>13</v>
      </c>
    </row>
    <row r="477" spans="3:7" hidden="1" x14ac:dyDescent="0.25">
      <c r="D477" s="2" t="s">
        <v>52</v>
      </c>
      <c r="E477" s="1">
        <f>1.12</f>
        <v>1.1200000000000001</v>
      </c>
      <c r="F477" s="3">
        <f>Datos!C$3*'Resumen Atenuación tomas'!$E477</f>
        <v>0.13440000000000002</v>
      </c>
      <c r="G477" s="3">
        <f>Datos!D$3*'Resumen Atenuación tomas'!$E477</f>
        <v>0.16800000000000001</v>
      </c>
    </row>
    <row r="478" spans="3:7" hidden="1" x14ac:dyDescent="0.25">
      <c r="D478" s="2" t="s">
        <v>55</v>
      </c>
      <c r="F478" s="3">
        <f>Datos!C$19</f>
        <v>13</v>
      </c>
      <c r="G478" s="3">
        <f>Datos!D$19</f>
        <v>13</v>
      </c>
    </row>
    <row r="479" spans="3:7" hidden="1" x14ac:dyDescent="0.25">
      <c r="D479" s="2" t="s">
        <v>63</v>
      </c>
      <c r="E479" s="1">
        <f>6.51</f>
        <v>6.51</v>
      </c>
      <c r="F479" s="3">
        <f>Datos!C$3*'Resumen Atenuación tomas'!$E479</f>
        <v>0.78119999999999989</v>
      </c>
      <c r="G479" s="3">
        <f>Datos!D$3*'Resumen Atenuación tomas'!$E479</f>
        <v>0.97649999999999992</v>
      </c>
    </row>
    <row r="480" spans="3:7" hidden="1" x14ac:dyDescent="0.25">
      <c r="D480" s="2" t="s">
        <v>22</v>
      </c>
      <c r="F480" s="3">
        <f>Datos!C$21</f>
        <v>4</v>
      </c>
      <c r="G480" s="3">
        <f>Datos!D$21</f>
        <v>4</v>
      </c>
    </row>
    <row r="481" spans="2:7" x14ac:dyDescent="0.25">
      <c r="D481" s="2" t="s">
        <v>26</v>
      </c>
      <c r="F481" s="3">
        <f>SUM(F469:F480)</f>
        <v>39.701599999999999</v>
      </c>
      <c r="G481" s="3">
        <f>SUM(G469:G480)</f>
        <v>40.277000000000001</v>
      </c>
    </row>
    <row r="482" spans="2:7" x14ac:dyDescent="0.25">
      <c r="B482" s="2" t="s">
        <v>30</v>
      </c>
    </row>
    <row r="483" spans="2:7" x14ac:dyDescent="0.25">
      <c r="C483" s="2" t="s">
        <v>107</v>
      </c>
    </row>
    <row r="484" spans="2:7" hidden="1" x14ac:dyDescent="0.25">
      <c r="D484" s="2" t="s">
        <v>17</v>
      </c>
      <c r="E484" s="1">
        <f>3</f>
        <v>3</v>
      </c>
      <c r="F484" s="3">
        <f>Datos!C$3*'Resumen Atenuación tomas'!$E484</f>
        <v>0.36</v>
      </c>
      <c r="G484" s="3">
        <f>Datos!D$3*'Resumen Atenuación tomas'!$E484</f>
        <v>0.44999999999999996</v>
      </c>
    </row>
    <row r="485" spans="2:7" hidden="1" x14ac:dyDescent="0.25">
      <c r="D485" s="2" t="s">
        <v>50</v>
      </c>
      <c r="F485" s="3">
        <f>Datos!C$5</f>
        <v>0.8</v>
      </c>
      <c r="G485" s="3">
        <f>Datos!D$5</f>
        <v>0.8</v>
      </c>
    </row>
    <row r="486" spans="2:7" hidden="1" x14ac:dyDescent="0.25">
      <c r="D486" s="2" t="s">
        <v>51</v>
      </c>
      <c r="E486" s="1">
        <f>2.85</f>
        <v>2.85</v>
      </c>
      <c r="F486" s="3">
        <f>Datos!C$3*'Resumen Atenuación tomas'!$E486</f>
        <v>0.34199999999999997</v>
      </c>
      <c r="G486" s="3">
        <f>Datos!D$3*'Resumen Atenuación tomas'!$E486</f>
        <v>0.42749999999999999</v>
      </c>
    </row>
    <row r="487" spans="2:7" hidden="1" x14ac:dyDescent="0.25">
      <c r="D487" s="2" t="s">
        <v>90</v>
      </c>
      <c r="F487" s="3">
        <f>Datos!C$8</f>
        <v>3.3</v>
      </c>
      <c r="G487" s="3">
        <f>Datos!D$8</f>
        <v>3.3</v>
      </c>
    </row>
    <row r="488" spans="2:7" hidden="1" x14ac:dyDescent="0.25">
      <c r="D488" s="2" t="s">
        <v>51</v>
      </c>
      <c r="E488" s="1">
        <f>2.85</f>
        <v>2.85</v>
      </c>
      <c r="F488" s="3">
        <f>Datos!C$3*'Resumen Atenuación tomas'!$E488</f>
        <v>0.34199999999999997</v>
      </c>
      <c r="G488" s="3">
        <f>Datos!D$3*'Resumen Atenuación tomas'!$E488</f>
        <v>0.42749999999999999</v>
      </c>
    </row>
    <row r="489" spans="2:7" hidden="1" x14ac:dyDescent="0.25">
      <c r="D489" s="2" t="s">
        <v>90</v>
      </c>
      <c r="F489" s="3">
        <f>Datos!C$8</f>
        <v>3.3</v>
      </c>
      <c r="G489" s="3">
        <f>Datos!D$8</f>
        <v>3.3</v>
      </c>
    </row>
    <row r="490" spans="2:7" hidden="1" x14ac:dyDescent="0.25">
      <c r="D490" s="2" t="s">
        <v>51</v>
      </c>
      <c r="E490" s="1">
        <f>2.85</f>
        <v>2.85</v>
      </c>
      <c r="F490" s="3">
        <f>Datos!C$3*'Resumen Atenuación tomas'!$E490</f>
        <v>0.34199999999999997</v>
      </c>
      <c r="G490" s="3">
        <f>Datos!D$3*'Resumen Atenuación tomas'!$E490</f>
        <v>0.42749999999999999</v>
      </c>
    </row>
    <row r="491" spans="2:7" hidden="1" x14ac:dyDescent="0.25">
      <c r="D491" s="2" t="s">
        <v>102</v>
      </c>
      <c r="F491" s="3">
        <f>Datos!C$12</f>
        <v>13</v>
      </c>
      <c r="G491" s="3">
        <f>Datos!D$12</f>
        <v>13</v>
      </c>
    </row>
    <row r="492" spans="2:7" hidden="1" x14ac:dyDescent="0.25">
      <c r="D492" s="2" t="s">
        <v>65</v>
      </c>
      <c r="E492" s="1">
        <f>4.49</f>
        <v>4.49</v>
      </c>
      <c r="F492" s="3">
        <f>Datos!C$3*'Resumen Atenuación tomas'!$E492</f>
        <v>0.53880000000000006</v>
      </c>
      <c r="G492" s="3">
        <f>Datos!D$3*'Resumen Atenuación tomas'!$E492</f>
        <v>0.67349999999999999</v>
      </c>
    </row>
    <row r="493" spans="2:7" hidden="1" x14ac:dyDescent="0.25">
      <c r="D493" s="2" t="s">
        <v>20</v>
      </c>
      <c r="F493" s="3">
        <f>Datos!C$17</f>
        <v>9</v>
      </c>
      <c r="G493" s="3">
        <f>Datos!D$17</f>
        <v>9</v>
      </c>
    </row>
    <row r="494" spans="2:7" hidden="1" x14ac:dyDescent="0.25">
      <c r="D494" s="2" t="s">
        <v>66</v>
      </c>
      <c r="E494" s="1">
        <f>4.2</f>
        <v>4.2</v>
      </c>
      <c r="F494" s="3">
        <f>Datos!C$3*'Resumen Atenuación tomas'!$E494</f>
        <v>0.504</v>
      </c>
      <c r="G494" s="3">
        <f>Datos!D$3*'Resumen Atenuación tomas'!$E494</f>
        <v>0.63</v>
      </c>
    </row>
    <row r="495" spans="2:7" hidden="1" x14ac:dyDescent="0.25">
      <c r="D495" s="2" t="s">
        <v>22</v>
      </c>
      <c r="F495" s="3">
        <f>Datos!C$21</f>
        <v>4</v>
      </c>
      <c r="G495" s="3">
        <f>Datos!D$21</f>
        <v>4</v>
      </c>
    </row>
    <row r="496" spans="2:7" x14ac:dyDescent="0.25">
      <c r="D496" s="2" t="s">
        <v>26</v>
      </c>
      <c r="F496" s="3">
        <f>SUM(F484:F495)</f>
        <v>35.828800000000001</v>
      </c>
      <c r="G496" s="3">
        <f>SUM(G484:G495)</f>
        <v>36.436</v>
      </c>
    </row>
    <row r="497" spans="3:7" x14ac:dyDescent="0.25">
      <c r="C497" s="2" t="s">
        <v>108</v>
      </c>
    </row>
    <row r="498" spans="3:7" hidden="1" x14ac:dyDescent="0.25">
      <c r="D498" s="2" t="s">
        <v>17</v>
      </c>
      <c r="E498" s="1">
        <f>3</f>
        <v>3</v>
      </c>
      <c r="F498" s="3">
        <f>Datos!C$3*'Resumen Atenuación tomas'!$E498</f>
        <v>0.36</v>
      </c>
      <c r="G498" s="3">
        <f>Datos!D$3*'Resumen Atenuación tomas'!$E498</f>
        <v>0.44999999999999996</v>
      </c>
    </row>
    <row r="499" spans="3:7" hidden="1" x14ac:dyDescent="0.25">
      <c r="D499" s="2" t="s">
        <v>50</v>
      </c>
      <c r="F499" s="3">
        <f>Datos!C$5</f>
        <v>0.8</v>
      </c>
      <c r="G499" s="3">
        <f>Datos!D$5</f>
        <v>0.8</v>
      </c>
    </row>
    <row r="500" spans="3:7" hidden="1" x14ac:dyDescent="0.25">
      <c r="D500" s="2" t="s">
        <v>51</v>
      </c>
      <c r="E500" s="1">
        <f>2.85</f>
        <v>2.85</v>
      </c>
      <c r="F500" s="3">
        <f>Datos!C$3*'Resumen Atenuación tomas'!$E500</f>
        <v>0.34199999999999997</v>
      </c>
      <c r="G500" s="3">
        <f>Datos!D$3*'Resumen Atenuación tomas'!$E500</f>
        <v>0.42749999999999999</v>
      </c>
    </row>
    <row r="501" spans="3:7" hidden="1" x14ac:dyDescent="0.25">
      <c r="D501" s="2" t="s">
        <v>90</v>
      </c>
      <c r="F501" s="3">
        <f>Datos!C$8</f>
        <v>3.3</v>
      </c>
      <c r="G501" s="3">
        <f>Datos!D$8</f>
        <v>3.3</v>
      </c>
    </row>
    <row r="502" spans="3:7" hidden="1" x14ac:dyDescent="0.25">
      <c r="D502" s="2" t="s">
        <v>51</v>
      </c>
      <c r="E502" s="1">
        <f>2.85</f>
        <v>2.85</v>
      </c>
      <c r="F502" s="3">
        <f>Datos!C$3*'Resumen Atenuación tomas'!$E502</f>
        <v>0.34199999999999997</v>
      </c>
      <c r="G502" s="3">
        <f>Datos!D$3*'Resumen Atenuación tomas'!$E502</f>
        <v>0.42749999999999999</v>
      </c>
    </row>
    <row r="503" spans="3:7" hidden="1" x14ac:dyDescent="0.25">
      <c r="D503" s="2" t="s">
        <v>90</v>
      </c>
      <c r="F503" s="3">
        <f>Datos!C$8</f>
        <v>3.3</v>
      </c>
      <c r="G503" s="3">
        <f>Datos!D$8</f>
        <v>3.3</v>
      </c>
    </row>
    <row r="504" spans="3:7" hidden="1" x14ac:dyDescent="0.25">
      <c r="D504" s="2" t="s">
        <v>51</v>
      </c>
      <c r="E504" s="1">
        <f>2.85</f>
        <v>2.85</v>
      </c>
      <c r="F504" s="3">
        <f>Datos!C$3*'Resumen Atenuación tomas'!$E504</f>
        <v>0.34199999999999997</v>
      </c>
      <c r="G504" s="3">
        <f>Datos!D$3*'Resumen Atenuación tomas'!$E504</f>
        <v>0.42749999999999999</v>
      </c>
    </row>
    <row r="505" spans="3:7" hidden="1" x14ac:dyDescent="0.25">
      <c r="D505" s="2" t="s">
        <v>102</v>
      </c>
      <c r="F505" s="3">
        <f>Datos!C$12</f>
        <v>13</v>
      </c>
      <c r="G505" s="3">
        <f>Datos!D$12</f>
        <v>13</v>
      </c>
    </row>
    <row r="506" spans="3:7" hidden="1" x14ac:dyDescent="0.25">
      <c r="D506" s="2" t="s">
        <v>65</v>
      </c>
      <c r="E506" s="1">
        <f>4.49</f>
        <v>4.49</v>
      </c>
      <c r="F506" s="3">
        <f>Datos!C$3*'Resumen Atenuación tomas'!$E506</f>
        <v>0.53880000000000006</v>
      </c>
      <c r="G506" s="3">
        <f>Datos!D$3*'Resumen Atenuación tomas'!$E506</f>
        <v>0.67349999999999999</v>
      </c>
    </row>
    <row r="507" spans="3:7" hidden="1" x14ac:dyDescent="0.25">
      <c r="D507" s="2" t="s">
        <v>20</v>
      </c>
      <c r="F507" s="3">
        <f>Datos!C$17</f>
        <v>9</v>
      </c>
      <c r="G507" s="3">
        <f>Datos!D$17</f>
        <v>9</v>
      </c>
    </row>
    <row r="508" spans="3:7" hidden="1" x14ac:dyDescent="0.25">
      <c r="D508" s="2" t="s">
        <v>72</v>
      </c>
      <c r="E508" s="1">
        <f>4.9</f>
        <v>4.9000000000000004</v>
      </c>
      <c r="F508" s="3">
        <f>Datos!C$3*'Resumen Atenuación tomas'!$E508</f>
        <v>0.58799999999999997</v>
      </c>
      <c r="G508" s="3">
        <f>Datos!D$3*'Resumen Atenuación tomas'!$E508</f>
        <v>0.73499999999999999</v>
      </c>
    </row>
    <row r="509" spans="3:7" hidden="1" x14ac:dyDescent="0.25">
      <c r="D509" s="2" t="s">
        <v>22</v>
      </c>
      <c r="F509" s="3">
        <f>Datos!C$21</f>
        <v>4</v>
      </c>
      <c r="G509" s="3">
        <f>Datos!D$21</f>
        <v>4</v>
      </c>
    </row>
    <row r="510" spans="3:7" x14ac:dyDescent="0.25">
      <c r="D510" s="2" t="s">
        <v>26</v>
      </c>
      <c r="F510" s="3">
        <f>SUM(F498:F509)</f>
        <v>35.912800000000004</v>
      </c>
      <c r="G510" s="3">
        <f>SUM(G498:G509)</f>
        <v>36.541000000000004</v>
      </c>
    </row>
    <row r="511" spans="3:7" x14ac:dyDescent="0.25">
      <c r="C511" s="2" t="s">
        <v>109</v>
      </c>
    </row>
    <row r="512" spans="3:7" hidden="1" x14ac:dyDescent="0.25">
      <c r="D512" s="2" t="s">
        <v>17</v>
      </c>
      <c r="E512" s="1">
        <f>3</f>
        <v>3</v>
      </c>
      <c r="F512" s="3">
        <f>Datos!C$3*'Resumen Atenuación tomas'!$E512</f>
        <v>0.36</v>
      </c>
      <c r="G512" s="3">
        <f>Datos!D$3*'Resumen Atenuación tomas'!$E512</f>
        <v>0.44999999999999996</v>
      </c>
    </row>
    <row r="513" spans="3:7" hidden="1" x14ac:dyDescent="0.25">
      <c r="D513" s="2" t="s">
        <v>50</v>
      </c>
      <c r="F513" s="3">
        <f>Datos!C$5</f>
        <v>0.8</v>
      </c>
      <c r="G513" s="3">
        <f>Datos!D$5</f>
        <v>0.8</v>
      </c>
    </row>
    <row r="514" spans="3:7" hidden="1" x14ac:dyDescent="0.25">
      <c r="D514" s="2" t="s">
        <v>51</v>
      </c>
      <c r="E514" s="1">
        <f>2.85</f>
        <v>2.85</v>
      </c>
      <c r="F514" s="3">
        <f>Datos!C$3*'Resumen Atenuación tomas'!$E514</f>
        <v>0.34199999999999997</v>
      </c>
      <c r="G514" s="3">
        <f>Datos!D$3*'Resumen Atenuación tomas'!$E514</f>
        <v>0.42749999999999999</v>
      </c>
    </row>
    <row r="515" spans="3:7" hidden="1" x14ac:dyDescent="0.25">
      <c r="D515" s="2" t="s">
        <v>90</v>
      </c>
      <c r="F515" s="3">
        <f>Datos!C$8</f>
        <v>3.3</v>
      </c>
      <c r="G515" s="3">
        <f>Datos!D$8</f>
        <v>3.3</v>
      </c>
    </row>
    <row r="516" spans="3:7" hidden="1" x14ac:dyDescent="0.25">
      <c r="D516" s="2" t="s">
        <v>51</v>
      </c>
      <c r="E516" s="1">
        <f>2.85</f>
        <v>2.85</v>
      </c>
      <c r="F516" s="3">
        <f>Datos!C$3*'Resumen Atenuación tomas'!$E516</f>
        <v>0.34199999999999997</v>
      </c>
      <c r="G516" s="3">
        <f>Datos!D$3*'Resumen Atenuación tomas'!$E516</f>
        <v>0.42749999999999999</v>
      </c>
    </row>
    <row r="517" spans="3:7" hidden="1" x14ac:dyDescent="0.25">
      <c r="D517" s="2" t="s">
        <v>90</v>
      </c>
      <c r="F517" s="3">
        <f>Datos!C$8</f>
        <v>3.3</v>
      </c>
      <c r="G517" s="3">
        <f>Datos!D$8</f>
        <v>3.3</v>
      </c>
    </row>
    <row r="518" spans="3:7" hidden="1" x14ac:dyDescent="0.25">
      <c r="D518" s="2" t="s">
        <v>51</v>
      </c>
      <c r="E518" s="1">
        <f>2.85</f>
        <v>2.85</v>
      </c>
      <c r="F518" s="3">
        <f>Datos!C$3*'Resumen Atenuación tomas'!$E518</f>
        <v>0.34199999999999997</v>
      </c>
      <c r="G518" s="3">
        <f>Datos!D$3*'Resumen Atenuación tomas'!$E518</f>
        <v>0.42749999999999999</v>
      </c>
    </row>
    <row r="519" spans="3:7" hidden="1" x14ac:dyDescent="0.25">
      <c r="D519" s="2" t="s">
        <v>102</v>
      </c>
      <c r="F519" s="3">
        <f>Datos!C$12</f>
        <v>13</v>
      </c>
      <c r="G519" s="3">
        <f>Datos!D$12</f>
        <v>13</v>
      </c>
    </row>
    <row r="520" spans="3:7" hidden="1" x14ac:dyDescent="0.25">
      <c r="D520" s="2" t="s">
        <v>65</v>
      </c>
      <c r="E520" s="1">
        <f>4.49</f>
        <v>4.49</v>
      </c>
      <c r="F520" s="3">
        <f>Datos!C$3*'Resumen Atenuación tomas'!$E520</f>
        <v>0.53880000000000006</v>
      </c>
      <c r="G520" s="3">
        <f>Datos!D$3*'Resumen Atenuación tomas'!$E520</f>
        <v>0.67349999999999999</v>
      </c>
    </row>
    <row r="521" spans="3:7" hidden="1" x14ac:dyDescent="0.25">
      <c r="D521" s="2" t="s">
        <v>20</v>
      </c>
      <c r="F521" s="3">
        <f>Datos!C$17</f>
        <v>9</v>
      </c>
      <c r="G521" s="3">
        <f>Datos!D$17</f>
        <v>9</v>
      </c>
    </row>
    <row r="522" spans="3:7" hidden="1" x14ac:dyDescent="0.25">
      <c r="D522" s="2" t="s">
        <v>71</v>
      </c>
      <c r="E522" s="1">
        <f>9.49</f>
        <v>9.49</v>
      </c>
      <c r="F522" s="3">
        <f>Datos!C$3*'Resumen Atenuación tomas'!$E522</f>
        <v>1.1388</v>
      </c>
      <c r="G522" s="3">
        <f>Datos!D$3*'Resumen Atenuación tomas'!$E522</f>
        <v>1.4235</v>
      </c>
    </row>
    <row r="523" spans="3:7" hidden="1" x14ac:dyDescent="0.25">
      <c r="D523" s="2" t="s">
        <v>22</v>
      </c>
      <c r="F523" s="3">
        <f>Datos!C$21</f>
        <v>4</v>
      </c>
      <c r="G523" s="3">
        <f>Datos!D$21</f>
        <v>4</v>
      </c>
    </row>
    <row r="524" spans="3:7" x14ac:dyDescent="0.25">
      <c r="D524" s="2" t="s">
        <v>26</v>
      </c>
      <c r="F524" s="3">
        <f>SUM(F512:F523)</f>
        <v>36.4636</v>
      </c>
      <c r="G524" s="3">
        <f>SUM(G512:G523)</f>
        <v>37.229500000000002</v>
      </c>
    </row>
    <row r="525" spans="3:7" x14ac:dyDescent="0.25">
      <c r="C525" s="2" t="s">
        <v>110</v>
      </c>
    </row>
    <row r="526" spans="3:7" hidden="1" x14ac:dyDescent="0.25">
      <c r="D526" s="2" t="s">
        <v>17</v>
      </c>
      <c r="E526" s="1">
        <f>3</f>
        <v>3</v>
      </c>
      <c r="F526" s="3">
        <f>Datos!C$3*'Resumen Atenuación tomas'!$E526</f>
        <v>0.36</v>
      </c>
      <c r="G526" s="3">
        <f>Datos!D$3*'Resumen Atenuación tomas'!$E526</f>
        <v>0.44999999999999996</v>
      </c>
    </row>
    <row r="527" spans="3:7" hidden="1" x14ac:dyDescent="0.25">
      <c r="D527" s="2" t="s">
        <v>50</v>
      </c>
      <c r="F527" s="3">
        <f>Datos!C$5</f>
        <v>0.8</v>
      </c>
      <c r="G527" s="3">
        <f>Datos!D$5</f>
        <v>0.8</v>
      </c>
    </row>
    <row r="528" spans="3:7" hidden="1" x14ac:dyDescent="0.25">
      <c r="D528" s="2" t="s">
        <v>51</v>
      </c>
      <c r="E528" s="1">
        <f>2.85</f>
        <v>2.85</v>
      </c>
      <c r="F528" s="3">
        <f>Datos!C$3*'Resumen Atenuación tomas'!$E528</f>
        <v>0.34199999999999997</v>
      </c>
      <c r="G528" s="3">
        <f>Datos!D$3*'Resumen Atenuación tomas'!$E528</f>
        <v>0.42749999999999999</v>
      </c>
    </row>
    <row r="529" spans="2:7" hidden="1" x14ac:dyDescent="0.25">
      <c r="D529" s="2" t="s">
        <v>90</v>
      </c>
      <c r="F529" s="3">
        <f>Datos!C$8</f>
        <v>3.3</v>
      </c>
      <c r="G529" s="3">
        <f>Datos!D$8</f>
        <v>3.3</v>
      </c>
    </row>
    <row r="530" spans="2:7" hidden="1" x14ac:dyDescent="0.25">
      <c r="D530" s="2" t="s">
        <v>51</v>
      </c>
      <c r="E530" s="1">
        <f>2.85</f>
        <v>2.85</v>
      </c>
      <c r="F530" s="3">
        <f>Datos!C$3*'Resumen Atenuación tomas'!$E530</f>
        <v>0.34199999999999997</v>
      </c>
      <c r="G530" s="3">
        <f>Datos!D$3*'Resumen Atenuación tomas'!$E530</f>
        <v>0.42749999999999999</v>
      </c>
    </row>
    <row r="531" spans="2:7" hidden="1" x14ac:dyDescent="0.25">
      <c r="D531" s="2" t="s">
        <v>90</v>
      </c>
      <c r="F531" s="3">
        <f>Datos!C$8</f>
        <v>3.3</v>
      </c>
      <c r="G531" s="3">
        <f>Datos!D$8</f>
        <v>3.3</v>
      </c>
    </row>
    <row r="532" spans="2:7" hidden="1" x14ac:dyDescent="0.25">
      <c r="D532" s="2" t="s">
        <v>51</v>
      </c>
      <c r="E532" s="1">
        <f>2.85</f>
        <v>2.85</v>
      </c>
      <c r="F532" s="3">
        <f>Datos!C$3*'Resumen Atenuación tomas'!$E532</f>
        <v>0.34199999999999997</v>
      </c>
      <c r="G532" s="3">
        <f>Datos!D$3*'Resumen Atenuación tomas'!$E532</f>
        <v>0.42749999999999999</v>
      </c>
    </row>
    <row r="533" spans="2:7" hidden="1" x14ac:dyDescent="0.25">
      <c r="D533" s="2" t="s">
        <v>102</v>
      </c>
      <c r="F533" s="3">
        <f>Datos!C$12</f>
        <v>13</v>
      </c>
      <c r="G533" s="3">
        <f>Datos!D$12</f>
        <v>13</v>
      </c>
    </row>
    <row r="534" spans="2:7" hidden="1" x14ac:dyDescent="0.25">
      <c r="D534" s="2" t="s">
        <v>65</v>
      </c>
      <c r="E534" s="1">
        <f>4.49</f>
        <v>4.49</v>
      </c>
      <c r="F534" s="3">
        <f>Datos!C$3*'Resumen Atenuación tomas'!$E534</f>
        <v>0.53880000000000006</v>
      </c>
      <c r="G534" s="3">
        <f>Datos!D$3*'Resumen Atenuación tomas'!$E534</f>
        <v>0.67349999999999999</v>
      </c>
    </row>
    <row r="535" spans="2:7" hidden="1" x14ac:dyDescent="0.25">
      <c r="D535" s="2" t="s">
        <v>20</v>
      </c>
      <c r="F535" s="3">
        <f>Datos!C$17</f>
        <v>9</v>
      </c>
      <c r="G535" s="3">
        <f>Datos!D$17</f>
        <v>9</v>
      </c>
    </row>
    <row r="536" spans="2:7" hidden="1" x14ac:dyDescent="0.25">
      <c r="D536" s="2" t="s">
        <v>70</v>
      </c>
      <c r="E536" s="1">
        <f>9.7</f>
        <v>9.6999999999999993</v>
      </c>
      <c r="F536" s="3">
        <f>Datos!C$3*'Resumen Atenuación tomas'!$E536</f>
        <v>1.1639999999999999</v>
      </c>
      <c r="G536" s="3">
        <f>Datos!D$3*'Resumen Atenuación tomas'!$E536</f>
        <v>1.4549999999999998</v>
      </c>
    </row>
    <row r="537" spans="2:7" hidden="1" x14ac:dyDescent="0.25">
      <c r="D537" s="2" t="s">
        <v>22</v>
      </c>
      <c r="F537" s="3">
        <f>Datos!C$21</f>
        <v>4</v>
      </c>
      <c r="G537" s="3">
        <f>Datos!D$21</f>
        <v>4</v>
      </c>
    </row>
    <row r="538" spans="2:7" x14ac:dyDescent="0.25">
      <c r="D538" s="2" t="s">
        <v>26</v>
      </c>
      <c r="F538" s="3">
        <f>SUM(F526:F537)</f>
        <v>36.488799999999998</v>
      </c>
      <c r="G538" s="3">
        <f>SUM(G526:G537)</f>
        <v>37.261000000000003</v>
      </c>
    </row>
    <row r="539" spans="2:7" x14ac:dyDescent="0.25">
      <c r="B539" s="2" t="s">
        <v>38</v>
      </c>
    </row>
    <row r="540" spans="2:7" x14ac:dyDescent="0.25">
      <c r="C540" s="2" t="s">
        <v>111</v>
      </c>
    </row>
    <row r="541" spans="2:7" hidden="1" x14ac:dyDescent="0.25">
      <c r="D541" s="2" t="s">
        <v>17</v>
      </c>
      <c r="E541" s="1">
        <f>3</f>
        <v>3</v>
      </c>
      <c r="F541" s="3">
        <f>Datos!C$3*'Resumen Atenuación tomas'!$E541</f>
        <v>0.36</v>
      </c>
      <c r="G541" s="3">
        <f>Datos!D$3*'Resumen Atenuación tomas'!$E541</f>
        <v>0.44999999999999996</v>
      </c>
    </row>
    <row r="542" spans="2:7" hidden="1" x14ac:dyDescent="0.25">
      <c r="D542" s="2" t="s">
        <v>50</v>
      </c>
      <c r="F542" s="3">
        <f>Datos!C$5</f>
        <v>0.8</v>
      </c>
      <c r="G542" s="3">
        <f>Datos!D$5</f>
        <v>0.8</v>
      </c>
    </row>
    <row r="543" spans="2:7" hidden="1" x14ac:dyDescent="0.25">
      <c r="D543" s="2" t="s">
        <v>51</v>
      </c>
      <c r="E543" s="1">
        <f>2.85</f>
        <v>2.85</v>
      </c>
      <c r="F543" s="3">
        <f>Datos!C$3*'Resumen Atenuación tomas'!$E543</f>
        <v>0.34199999999999997</v>
      </c>
      <c r="G543" s="3">
        <f>Datos!D$3*'Resumen Atenuación tomas'!$E543</f>
        <v>0.42749999999999999</v>
      </c>
    </row>
    <row r="544" spans="2:7" hidden="1" x14ac:dyDescent="0.25">
      <c r="D544" s="2" t="s">
        <v>90</v>
      </c>
      <c r="F544" s="3">
        <f>Datos!C$8</f>
        <v>3.3</v>
      </c>
      <c r="G544" s="3">
        <f>Datos!D$8</f>
        <v>3.3</v>
      </c>
    </row>
    <row r="545" spans="3:7" hidden="1" x14ac:dyDescent="0.25">
      <c r="D545" s="2" t="s">
        <v>51</v>
      </c>
      <c r="E545" s="1">
        <f>2.85</f>
        <v>2.85</v>
      </c>
      <c r="F545" s="3">
        <f>Datos!C$3*'Resumen Atenuación tomas'!$E545</f>
        <v>0.34199999999999997</v>
      </c>
      <c r="G545" s="3">
        <f>Datos!D$3*'Resumen Atenuación tomas'!$E545</f>
        <v>0.42749999999999999</v>
      </c>
    </row>
    <row r="546" spans="3:7" hidden="1" x14ac:dyDescent="0.25">
      <c r="D546" s="2" t="s">
        <v>90</v>
      </c>
      <c r="F546" s="3">
        <f>Datos!C$8</f>
        <v>3.3</v>
      </c>
      <c r="G546" s="3">
        <f>Datos!D$8</f>
        <v>3.3</v>
      </c>
    </row>
    <row r="547" spans="3:7" hidden="1" x14ac:dyDescent="0.25">
      <c r="D547" s="2" t="s">
        <v>51</v>
      </c>
      <c r="E547" s="1">
        <f>2.85</f>
        <v>2.85</v>
      </c>
      <c r="F547" s="3">
        <f>Datos!C$3*'Resumen Atenuación tomas'!$E547</f>
        <v>0.34199999999999997</v>
      </c>
      <c r="G547" s="3">
        <f>Datos!D$3*'Resumen Atenuación tomas'!$E547</f>
        <v>0.42749999999999999</v>
      </c>
    </row>
    <row r="548" spans="3:7" hidden="1" x14ac:dyDescent="0.25">
      <c r="D548" s="2" t="s">
        <v>102</v>
      </c>
      <c r="F548" s="3">
        <f>Datos!C$12</f>
        <v>13</v>
      </c>
      <c r="G548" s="3">
        <f>Datos!D$12</f>
        <v>13</v>
      </c>
    </row>
    <row r="549" spans="3:7" hidden="1" x14ac:dyDescent="0.25">
      <c r="D549" s="2" t="s">
        <v>74</v>
      </c>
      <c r="E549" s="1">
        <f>4.84</f>
        <v>4.84</v>
      </c>
      <c r="F549" s="3">
        <f>Datos!C$3*'Resumen Atenuación tomas'!$E549</f>
        <v>0.58079999999999998</v>
      </c>
      <c r="G549" s="3">
        <f>Datos!D$3*'Resumen Atenuación tomas'!$E549</f>
        <v>0.72599999999999998</v>
      </c>
    </row>
    <row r="550" spans="3:7" hidden="1" x14ac:dyDescent="0.25">
      <c r="D550" s="2" t="s">
        <v>55</v>
      </c>
      <c r="F550" s="3">
        <f>Datos!C$19</f>
        <v>13</v>
      </c>
      <c r="G550" s="3">
        <f>Datos!D$19</f>
        <v>13</v>
      </c>
    </row>
    <row r="551" spans="3:7" hidden="1" x14ac:dyDescent="0.25">
      <c r="D551" s="2" t="s">
        <v>75</v>
      </c>
      <c r="E551" s="1">
        <f>9.03</f>
        <v>9.0299999999999994</v>
      </c>
      <c r="F551" s="3">
        <f>Datos!C$3*'Resumen Atenuación tomas'!$E551</f>
        <v>1.0835999999999999</v>
      </c>
      <c r="G551" s="3">
        <f>Datos!D$3*'Resumen Atenuación tomas'!$E551</f>
        <v>1.3544999999999998</v>
      </c>
    </row>
    <row r="552" spans="3:7" hidden="1" x14ac:dyDescent="0.25">
      <c r="D552" s="2" t="s">
        <v>22</v>
      </c>
      <c r="F552" s="3">
        <f>Datos!C$21</f>
        <v>4</v>
      </c>
      <c r="G552" s="3">
        <f>Datos!D$21</f>
        <v>4</v>
      </c>
    </row>
    <row r="553" spans="3:7" x14ac:dyDescent="0.25">
      <c r="D553" s="2" t="s">
        <v>26</v>
      </c>
      <c r="F553" s="3">
        <f>SUM(F541:F552)</f>
        <v>40.450399999999995</v>
      </c>
      <c r="G553" s="3">
        <f>SUM(G541:G552)</f>
        <v>41.213000000000001</v>
      </c>
    </row>
    <row r="554" spans="3:7" x14ac:dyDescent="0.25">
      <c r="C554" s="2" t="s">
        <v>112</v>
      </c>
    </row>
    <row r="555" spans="3:7" hidden="1" x14ac:dyDescent="0.25">
      <c r="D555" s="2" t="s">
        <v>17</v>
      </c>
      <c r="E555" s="1">
        <f>3</f>
        <v>3</v>
      </c>
      <c r="F555" s="3">
        <f>Datos!C$3*'Resumen Atenuación tomas'!$E555</f>
        <v>0.36</v>
      </c>
      <c r="G555" s="3">
        <f>Datos!D$3*'Resumen Atenuación tomas'!$E555</f>
        <v>0.44999999999999996</v>
      </c>
    </row>
    <row r="556" spans="3:7" hidden="1" x14ac:dyDescent="0.25">
      <c r="D556" s="2" t="s">
        <v>50</v>
      </c>
      <c r="F556" s="3">
        <f>Datos!C$5</f>
        <v>0.8</v>
      </c>
      <c r="G556" s="3">
        <f>Datos!D$5</f>
        <v>0.8</v>
      </c>
    </row>
    <row r="557" spans="3:7" hidden="1" x14ac:dyDescent="0.25">
      <c r="D557" s="2" t="s">
        <v>51</v>
      </c>
      <c r="E557" s="1">
        <f>2.85</f>
        <v>2.85</v>
      </c>
      <c r="F557" s="3">
        <f>Datos!C$3*'Resumen Atenuación tomas'!$E557</f>
        <v>0.34199999999999997</v>
      </c>
      <c r="G557" s="3">
        <f>Datos!D$3*'Resumen Atenuación tomas'!$E557</f>
        <v>0.42749999999999999</v>
      </c>
    </row>
    <row r="558" spans="3:7" hidden="1" x14ac:dyDescent="0.25">
      <c r="D558" s="2" t="s">
        <v>90</v>
      </c>
      <c r="F558" s="3">
        <f>Datos!C$8</f>
        <v>3.3</v>
      </c>
      <c r="G558" s="3">
        <f>Datos!D$8</f>
        <v>3.3</v>
      </c>
    </row>
    <row r="559" spans="3:7" hidden="1" x14ac:dyDescent="0.25">
      <c r="D559" s="2" t="s">
        <v>51</v>
      </c>
      <c r="E559" s="1">
        <f>2.85</f>
        <v>2.85</v>
      </c>
      <c r="F559" s="3">
        <f>Datos!C$3*'Resumen Atenuación tomas'!$E559</f>
        <v>0.34199999999999997</v>
      </c>
      <c r="G559" s="3">
        <f>Datos!D$3*'Resumen Atenuación tomas'!$E559</f>
        <v>0.42749999999999999</v>
      </c>
    </row>
    <row r="560" spans="3:7" hidden="1" x14ac:dyDescent="0.25">
      <c r="D560" s="2" t="s">
        <v>90</v>
      </c>
      <c r="F560" s="3">
        <f>Datos!C$8</f>
        <v>3.3</v>
      </c>
      <c r="G560" s="3">
        <f>Datos!D$8</f>
        <v>3.3</v>
      </c>
    </row>
    <row r="561" spans="3:7" hidden="1" x14ac:dyDescent="0.25">
      <c r="D561" s="2" t="s">
        <v>51</v>
      </c>
      <c r="E561" s="1">
        <f>2.85</f>
        <v>2.85</v>
      </c>
      <c r="F561" s="3">
        <f>Datos!C$3*'Resumen Atenuación tomas'!$E561</f>
        <v>0.34199999999999997</v>
      </c>
      <c r="G561" s="3">
        <f>Datos!D$3*'Resumen Atenuación tomas'!$E561</f>
        <v>0.42749999999999999</v>
      </c>
    </row>
    <row r="562" spans="3:7" hidden="1" x14ac:dyDescent="0.25">
      <c r="D562" s="2" t="s">
        <v>102</v>
      </c>
      <c r="F562" s="3">
        <f>Datos!C$12</f>
        <v>13</v>
      </c>
      <c r="G562" s="3">
        <f>Datos!D$12</f>
        <v>13</v>
      </c>
    </row>
    <row r="563" spans="3:7" hidden="1" x14ac:dyDescent="0.25">
      <c r="D563" s="2" t="s">
        <v>74</v>
      </c>
      <c r="E563" s="1">
        <f>4.84</f>
        <v>4.84</v>
      </c>
      <c r="F563" s="3">
        <f>Datos!C$3*'Resumen Atenuación tomas'!$E563</f>
        <v>0.58079999999999998</v>
      </c>
      <c r="G563" s="3">
        <f>Datos!D$3*'Resumen Atenuación tomas'!$E563</f>
        <v>0.72599999999999998</v>
      </c>
    </row>
    <row r="564" spans="3:7" hidden="1" x14ac:dyDescent="0.25">
      <c r="D564" s="2" t="s">
        <v>55</v>
      </c>
      <c r="F564" s="3">
        <f>Datos!C$19</f>
        <v>13</v>
      </c>
      <c r="G564" s="3">
        <f>Datos!D$19</f>
        <v>13</v>
      </c>
    </row>
    <row r="565" spans="3:7" hidden="1" x14ac:dyDescent="0.25">
      <c r="D565" s="2" t="s">
        <v>80</v>
      </c>
      <c r="E565" s="1">
        <f>4.31</f>
        <v>4.3099999999999996</v>
      </c>
      <c r="F565" s="3">
        <f>Datos!C$3*'Resumen Atenuación tomas'!$E565</f>
        <v>0.51719999999999988</v>
      </c>
      <c r="G565" s="3">
        <f>Datos!D$3*'Resumen Atenuación tomas'!$E565</f>
        <v>0.64649999999999996</v>
      </c>
    </row>
    <row r="566" spans="3:7" hidden="1" x14ac:dyDescent="0.25">
      <c r="D566" s="2" t="s">
        <v>22</v>
      </c>
      <c r="F566" s="3">
        <f>Datos!C$21</f>
        <v>4</v>
      </c>
      <c r="G566" s="3">
        <f>Datos!D$21</f>
        <v>4</v>
      </c>
    </row>
    <row r="567" spans="3:7" x14ac:dyDescent="0.25">
      <c r="D567" s="2" t="s">
        <v>26</v>
      </c>
      <c r="F567" s="3">
        <f>SUM(F555:F566)</f>
        <v>39.884</v>
      </c>
      <c r="G567" s="3">
        <f>SUM(G555:G566)</f>
        <v>40.505000000000003</v>
      </c>
    </row>
    <row r="568" spans="3:7" x14ac:dyDescent="0.25">
      <c r="C568" s="2" t="s">
        <v>113</v>
      </c>
    </row>
    <row r="569" spans="3:7" hidden="1" x14ac:dyDescent="0.25">
      <c r="D569" s="2" t="s">
        <v>17</v>
      </c>
      <c r="E569" s="1">
        <f>3</f>
        <v>3</v>
      </c>
      <c r="F569" s="3">
        <f>Datos!C$3*'Resumen Atenuación tomas'!$E569</f>
        <v>0.36</v>
      </c>
      <c r="G569" s="3">
        <f>Datos!D$3*'Resumen Atenuación tomas'!$E569</f>
        <v>0.44999999999999996</v>
      </c>
    </row>
    <row r="570" spans="3:7" hidden="1" x14ac:dyDescent="0.25">
      <c r="D570" s="2" t="s">
        <v>50</v>
      </c>
      <c r="F570" s="3">
        <f>Datos!C$5</f>
        <v>0.8</v>
      </c>
      <c r="G570" s="3">
        <f>Datos!D$5</f>
        <v>0.8</v>
      </c>
    </row>
    <row r="571" spans="3:7" hidden="1" x14ac:dyDescent="0.25">
      <c r="D571" s="2" t="s">
        <v>51</v>
      </c>
      <c r="E571" s="1">
        <f>2.85</f>
        <v>2.85</v>
      </c>
      <c r="F571" s="3">
        <f>Datos!C$3*'Resumen Atenuación tomas'!$E571</f>
        <v>0.34199999999999997</v>
      </c>
      <c r="G571" s="3">
        <f>Datos!D$3*'Resumen Atenuación tomas'!$E571</f>
        <v>0.42749999999999999</v>
      </c>
    </row>
    <row r="572" spans="3:7" hidden="1" x14ac:dyDescent="0.25">
      <c r="D572" s="2" t="s">
        <v>90</v>
      </c>
      <c r="F572" s="3">
        <f>Datos!C$8</f>
        <v>3.3</v>
      </c>
      <c r="G572" s="3">
        <f>Datos!D$8</f>
        <v>3.3</v>
      </c>
    </row>
    <row r="573" spans="3:7" hidden="1" x14ac:dyDescent="0.25">
      <c r="D573" s="2" t="s">
        <v>51</v>
      </c>
      <c r="E573" s="1">
        <f>2.85</f>
        <v>2.85</v>
      </c>
      <c r="F573" s="3">
        <f>Datos!C$3*'Resumen Atenuación tomas'!$E573</f>
        <v>0.34199999999999997</v>
      </c>
      <c r="G573" s="3">
        <f>Datos!D$3*'Resumen Atenuación tomas'!$E573</f>
        <v>0.42749999999999999</v>
      </c>
    </row>
    <row r="574" spans="3:7" hidden="1" x14ac:dyDescent="0.25">
      <c r="D574" s="2" t="s">
        <v>90</v>
      </c>
      <c r="F574" s="3">
        <f>Datos!C$8</f>
        <v>3.3</v>
      </c>
      <c r="G574" s="3">
        <f>Datos!D$8</f>
        <v>3.3</v>
      </c>
    </row>
    <row r="575" spans="3:7" hidden="1" x14ac:dyDescent="0.25">
      <c r="D575" s="2" t="s">
        <v>51</v>
      </c>
      <c r="E575" s="1">
        <f>2.85</f>
        <v>2.85</v>
      </c>
      <c r="F575" s="3">
        <f>Datos!C$3*'Resumen Atenuación tomas'!$E575</f>
        <v>0.34199999999999997</v>
      </c>
      <c r="G575" s="3">
        <f>Datos!D$3*'Resumen Atenuación tomas'!$E575</f>
        <v>0.42749999999999999</v>
      </c>
    </row>
    <row r="576" spans="3:7" hidden="1" x14ac:dyDescent="0.25">
      <c r="D576" s="2" t="s">
        <v>102</v>
      </c>
      <c r="F576" s="3">
        <f>Datos!C$12</f>
        <v>13</v>
      </c>
      <c r="G576" s="3">
        <f>Datos!D$12</f>
        <v>13</v>
      </c>
    </row>
    <row r="577" spans="3:7" hidden="1" x14ac:dyDescent="0.25">
      <c r="D577" s="2" t="s">
        <v>74</v>
      </c>
      <c r="E577" s="1">
        <f>4.84</f>
        <v>4.84</v>
      </c>
      <c r="F577" s="3">
        <f>Datos!C$3*'Resumen Atenuación tomas'!$E577</f>
        <v>0.58079999999999998</v>
      </c>
      <c r="G577" s="3">
        <f>Datos!D$3*'Resumen Atenuación tomas'!$E577</f>
        <v>0.72599999999999998</v>
      </c>
    </row>
    <row r="578" spans="3:7" hidden="1" x14ac:dyDescent="0.25">
      <c r="D578" s="2" t="s">
        <v>55</v>
      </c>
      <c r="F578" s="3">
        <f>Datos!C$19</f>
        <v>13</v>
      </c>
      <c r="G578" s="3">
        <f>Datos!D$19</f>
        <v>13</v>
      </c>
    </row>
    <row r="579" spans="3:7" hidden="1" x14ac:dyDescent="0.25">
      <c r="D579" s="2" t="s">
        <v>81</v>
      </c>
      <c r="E579" s="1">
        <f>7.35</f>
        <v>7.35</v>
      </c>
      <c r="F579" s="3">
        <f>Datos!C$3*'Resumen Atenuación tomas'!$E579</f>
        <v>0.8819999999999999</v>
      </c>
      <c r="G579" s="3">
        <f>Datos!D$3*'Resumen Atenuación tomas'!$E579</f>
        <v>1.1024999999999998</v>
      </c>
    </row>
    <row r="580" spans="3:7" hidden="1" x14ac:dyDescent="0.25">
      <c r="D580" s="2" t="s">
        <v>22</v>
      </c>
      <c r="F580" s="3">
        <f>Datos!C$21</f>
        <v>4</v>
      </c>
      <c r="G580" s="3">
        <f>Datos!D$21</f>
        <v>4</v>
      </c>
    </row>
    <row r="581" spans="3:7" x14ac:dyDescent="0.25">
      <c r="D581" s="2" t="s">
        <v>26</v>
      </c>
      <c r="F581" s="3">
        <f>SUM(F569:F580)</f>
        <v>40.248799999999996</v>
      </c>
      <c r="G581" s="3">
        <f>SUM(G569:G580)</f>
        <v>40.960999999999999</v>
      </c>
    </row>
    <row r="582" spans="3:7" x14ac:dyDescent="0.25">
      <c r="C582" s="2" t="s">
        <v>114</v>
      </c>
    </row>
    <row r="583" spans="3:7" hidden="1" x14ac:dyDescent="0.25">
      <c r="D583" s="2" t="s">
        <v>17</v>
      </c>
      <c r="E583" s="1">
        <f>3</f>
        <v>3</v>
      </c>
      <c r="F583" s="3">
        <f>Datos!C$3*'Resumen Atenuación tomas'!$E583</f>
        <v>0.36</v>
      </c>
      <c r="G583" s="3">
        <f>Datos!D$3*'Resumen Atenuación tomas'!$E583</f>
        <v>0.44999999999999996</v>
      </c>
    </row>
    <row r="584" spans="3:7" hidden="1" x14ac:dyDescent="0.25">
      <c r="D584" s="2" t="s">
        <v>50</v>
      </c>
      <c r="F584" s="3">
        <f>Datos!C$5</f>
        <v>0.8</v>
      </c>
      <c r="G584" s="3">
        <f>Datos!D$5</f>
        <v>0.8</v>
      </c>
    </row>
    <row r="585" spans="3:7" hidden="1" x14ac:dyDescent="0.25">
      <c r="D585" s="2" t="s">
        <v>51</v>
      </c>
      <c r="E585" s="1">
        <f>2.85</f>
        <v>2.85</v>
      </c>
      <c r="F585" s="3">
        <f>Datos!C$3*'Resumen Atenuación tomas'!$E585</f>
        <v>0.34199999999999997</v>
      </c>
      <c r="G585" s="3">
        <f>Datos!D$3*'Resumen Atenuación tomas'!$E585</f>
        <v>0.42749999999999999</v>
      </c>
    </row>
    <row r="586" spans="3:7" hidden="1" x14ac:dyDescent="0.25">
      <c r="D586" s="2" t="s">
        <v>90</v>
      </c>
      <c r="F586" s="3">
        <f>Datos!C$8</f>
        <v>3.3</v>
      </c>
      <c r="G586" s="3">
        <f>Datos!D$8</f>
        <v>3.3</v>
      </c>
    </row>
    <row r="587" spans="3:7" hidden="1" x14ac:dyDescent="0.25">
      <c r="D587" s="2" t="s">
        <v>51</v>
      </c>
      <c r="E587" s="1">
        <f>2.85</f>
        <v>2.85</v>
      </c>
      <c r="F587" s="3">
        <f>Datos!C$3*'Resumen Atenuación tomas'!$E587</f>
        <v>0.34199999999999997</v>
      </c>
      <c r="G587" s="3">
        <f>Datos!D$3*'Resumen Atenuación tomas'!$E587</f>
        <v>0.42749999999999999</v>
      </c>
    </row>
    <row r="588" spans="3:7" hidden="1" x14ac:dyDescent="0.25">
      <c r="D588" s="2" t="s">
        <v>90</v>
      </c>
      <c r="F588" s="3">
        <f>Datos!C$8</f>
        <v>3.3</v>
      </c>
      <c r="G588" s="3">
        <f>Datos!D$8</f>
        <v>3.3</v>
      </c>
    </row>
    <row r="589" spans="3:7" hidden="1" x14ac:dyDescent="0.25">
      <c r="D589" s="2" t="s">
        <v>51</v>
      </c>
      <c r="E589" s="1">
        <f>2.85</f>
        <v>2.85</v>
      </c>
      <c r="F589" s="3">
        <f>Datos!C$3*'Resumen Atenuación tomas'!$E589</f>
        <v>0.34199999999999997</v>
      </c>
      <c r="G589" s="3">
        <f>Datos!D$3*'Resumen Atenuación tomas'!$E589</f>
        <v>0.42749999999999999</v>
      </c>
    </row>
    <row r="590" spans="3:7" hidden="1" x14ac:dyDescent="0.25">
      <c r="D590" s="2" t="s">
        <v>102</v>
      </c>
      <c r="F590" s="3">
        <f>Datos!C$12</f>
        <v>13</v>
      </c>
      <c r="G590" s="3">
        <f>Datos!D$12</f>
        <v>13</v>
      </c>
    </row>
    <row r="591" spans="3:7" hidden="1" x14ac:dyDescent="0.25">
      <c r="D591" s="2" t="s">
        <v>74</v>
      </c>
      <c r="E591" s="1">
        <f>4.84</f>
        <v>4.84</v>
      </c>
      <c r="F591" s="3">
        <f>Datos!C$3*'Resumen Atenuación tomas'!$E591</f>
        <v>0.58079999999999998</v>
      </c>
      <c r="G591" s="3">
        <f>Datos!D$3*'Resumen Atenuación tomas'!$E591</f>
        <v>0.72599999999999998</v>
      </c>
    </row>
    <row r="592" spans="3:7" hidden="1" x14ac:dyDescent="0.25">
      <c r="D592" s="2" t="s">
        <v>55</v>
      </c>
      <c r="F592" s="3">
        <f>Datos!C$19</f>
        <v>13</v>
      </c>
      <c r="G592" s="3">
        <f>Datos!D$19</f>
        <v>13</v>
      </c>
    </row>
    <row r="593" spans="3:7" hidden="1" x14ac:dyDescent="0.25">
      <c r="D593" s="2" t="s">
        <v>82</v>
      </c>
      <c r="E593" s="1">
        <f>8.51</f>
        <v>8.51</v>
      </c>
      <c r="F593" s="3">
        <f>Datos!C$3*'Resumen Atenuación tomas'!$E593</f>
        <v>1.0211999999999999</v>
      </c>
      <c r="G593" s="3">
        <f>Datos!D$3*'Resumen Atenuación tomas'!$E593</f>
        <v>1.2765</v>
      </c>
    </row>
    <row r="594" spans="3:7" hidden="1" x14ac:dyDescent="0.25">
      <c r="D594" s="2" t="s">
        <v>22</v>
      </c>
      <c r="F594" s="3">
        <f>Datos!C$21</f>
        <v>4</v>
      </c>
      <c r="G594" s="3">
        <f>Datos!D$21</f>
        <v>4</v>
      </c>
    </row>
    <row r="595" spans="3:7" x14ac:dyDescent="0.25">
      <c r="D595" s="2" t="s">
        <v>26</v>
      </c>
      <c r="F595" s="3">
        <f>SUM(F583:F594)</f>
        <v>40.387999999999998</v>
      </c>
      <c r="G595" s="3">
        <f>SUM(G583:G594)</f>
        <v>41.134999999999998</v>
      </c>
    </row>
    <row r="596" spans="3:7" x14ac:dyDescent="0.25">
      <c r="C596" s="2" t="s">
        <v>115</v>
      </c>
    </row>
    <row r="597" spans="3:7" hidden="1" x14ac:dyDescent="0.25">
      <c r="D597" s="2" t="s">
        <v>17</v>
      </c>
      <c r="E597" s="1">
        <f>3</f>
        <v>3</v>
      </c>
      <c r="F597" s="3">
        <f>Datos!C$3*'Resumen Atenuación tomas'!$E597</f>
        <v>0.36</v>
      </c>
      <c r="G597" s="3">
        <f>Datos!D$3*'Resumen Atenuación tomas'!$E597</f>
        <v>0.44999999999999996</v>
      </c>
    </row>
    <row r="598" spans="3:7" hidden="1" x14ac:dyDescent="0.25">
      <c r="D598" s="2" t="s">
        <v>50</v>
      </c>
      <c r="F598" s="3">
        <f>Datos!C$5</f>
        <v>0.8</v>
      </c>
      <c r="G598" s="3">
        <f>Datos!D$5</f>
        <v>0.8</v>
      </c>
    </row>
    <row r="599" spans="3:7" hidden="1" x14ac:dyDescent="0.25">
      <c r="D599" s="2" t="s">
        <v>51</v>
      </c>
      <c r="E599" s="1">
        <f>2.85</f>
        <v>2.85</v>
      </c>
      <c r="F599" s="3">
        <f>Datos!C$3*'Resumen Atenuación tomas'!$E599</f>
        <v>0.34199999999999997</v>
      </c>
      <c r="G599" s="3">
        <f>Datos!D$3*'Resumen Atenuación tomas'!$E599</f>
        <v>0.42749999999999999</v>
      </c>
    </row>
    <row r="600" spans="3:7" hidden="1" x14ac:dyDescent="0.25">
      <c r="D600" s="2" t="s">
        <v>90</v>
      </c>
      <c r="F600" s="3">
        <f>Datos!C$8</f>
        <v>3.3</v>
      </c>
      <c r="G600" s="3">
        <f>Datos!D$8</f>
        <v>3.3</v>
      </c>
    </row>
    <row r="601" spans="3:7" hidden="1" x14ac:dyDescent="0.25">
      <c r="D601" s="2" t="s">
        <v>51</v>
      </c>
      <c r="E601" s="1">
        <f>2.85</f>
        <v>2.85</v>
      </c>
      <c r="F601" s="3">
        <f>Datos!C$3*'Resumen Atenuación tomas'!$E601</f>
        <v>0.34199999999999997</v>
      </c>
      <c r="G601" s="3">
        <f>Datos!D$3*'Resumen Atenuación tomas'!$E601</f>
        <v>0.42749999999999999</v>
      </c>
    </row>
    <row r="602" spans="3:7" hidden="1" x14ac:dyDescent="0.25">
      <c r="D602" s="2" t="s">
        <v>90</v>
      </c>
      <c r="F602" s="3">
        <f>Datos!C$8</f>
        <v>3.3</v>
      </c>
      <c r="G602" s="3">
        <f>Datos!D$8</f>
        <v>3.3</v>
      </c>
    </row>
    <row r="603" spans="3:7" hidden="1" x14ac:dyDescent="0.25">
      <c r="D603" s="2" t="s">
        <v>51</v>
      </c>
      <c r="E603" s="1">
        <f>2.85</f>
        <v>2.85</v>
      </c>
      <c r="F603" s="3">
        <f>Datos!C$3*'Resumen Atenuación tomas'!$E603</f>
        <v>0.34199999999999997</v>
      </c>
      <c r="G603" s="3">
        <f>Datos!D$3*'Resumen Atenuación tomas'!$E603</f>
        <v>0.42749999999999999</v>
      </c>
    </row>
    <row r="604" spans="3:7" hidden="1" x14ac:dyDescent="0.25">
      <c r="D604" s="2" t="s">
        <v>102</v>
      </c>
      <c r="F604" s="3">
        <f>Datos!C$12</f>
        <v>13</v>
      </c>
      <c r="G604" s="3">
        <f>Datos!D$12</f>
        <v>13</v>
      </c>
    </row>
    <row r="605" spans="3:7" hidden="1" x14ac:dyDescent="0.25">
      <c r="D605" s="2" t="s">
        <v>74</v>
      </c>
      <c r="E605" s="1">
        <f>4.84</f>
        <v>4.84</v>
      </c>
      <c r="F605" s="3">
        <f>Datos!C$3*'Resumen Atenuación tomas'!$E605</f>
        <v>0.58079999999999998</v>
      </c>
      <c r="G605" s="3">
        <f>Datos!D$3*'Resumen Atenuación tomas'!$E605</f>
        <v>0.72599999999999998</v>
      </c>
    </row>
    <row r="606" spans="3:7" hidden="1" x14ac:dyDescent="0.25">
      <c r="D606" s="2" t="s">
        <v>55</v>
      </c>
      <c r="F606" s="3">
        <f>Datos!C$19</f>
        <v>13</v>
      </c>
      <c r="G606" s="3">
        <f>Datos!D$19</f>
        <v>13</v>
      </c>
    </row>
    <row r="607" spans="3:7" hidden="1" x14ac:dyDescent="0.25">
      <c r="D607" s="2" t="s">
        <v>83</v>
      </c>
      <c r="E607" s="1">
        <f>10.12</f>
        <v>10.119999999999999</v>
      </c>
      <c r="F607" s="3">
        <f>Datos!C$3*'Resumen Atenuación tomas'!$E607</f>
        <v>1.2143999999999999</v>
      </c>
      <c r="G607" s="3">
        <f>Datos!D$3*'Resumen Atenuación tomas'!$E607</f>
        <v>1.5179999999999998</v>
      </c>
    </row>
    <row r="608" spans="3:7" hidden="1" x14ac:dyDescent="0.25">
      <c r="D608" s="2" t="s">
        <v>22</v>
      </c>
      <c r="F608" s="3">
        <f>Datos!C$21</f>
        <v>4</v>
      </c>
      <c r="G608" s="3">
        <f>Datos!D$21</f>
        <v>4</v>
      </c>
    </row>
    <row r="609" spans="4:7" x14ac:dyDescent="0.25">
      <c r="D609" s="2" t="s">
        <v>26</v>
      </c>
      <c r="F609" s="3">
        <f>SUM(F597:F608)</f>
        <v>40.581199999999995</v>
      </c>
      <c r="G609" s="3">
        <f>SUM(G597:G608)</f>
        <v>41.3765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Atenuación tomas</vt:lpstr>
      <vt:lpstr>Resumen Atenuación tomas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Alfaro</dc:creator>
  <cp:lastModifiedBy>Pablo Alfaro</cp:lastModifiedBy>
  <dcterms:created xsi:type="dcterms:W3CDTF">2025-12-14T12:51:13Z</dcterms:created>
  <dcterms:modified xsi:type="dcterms:W3CDTF">2025-12-17T21:28:39Z</dcterms:modified>
</cp:coreProperties>
</file>