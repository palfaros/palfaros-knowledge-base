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35117D84-D4D4-4E58-B73B-A406250CA811}" xr6:coauthVersionLast="47" xr6:coauthVersionMax="47" xr10:uidLastSave="{00000000-0000-0000-0000-000000000000}"/>
  <bookViews>
    <workbookView xWindow="-120" yWindow="-120" windowWidth="29040" windowHeight="15840" activeTab="2" xr2:uid="{BFFC155E-449D-4069-884C-DE4A947B6688}"/>
  </bookViews>
  <sheets>
    <sheet name="Dividendo + Preferentes" sheetId="1" r:id="rId1"/>
    <sheet name="Dividendo parcial + Preferentes" sheetId="2" r:id="rId2"/>
    <sheet name="Reestructuracion (+Div+Pre)" sheetId="4" r:id="rId3"/>
    <sheet name="Gabriel Castro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4" l="1"/>
  <c r="D13" i="4"/>
  <c r="C13" i="4"/>
  <c r="B13" i="4"/>
  <c r="E22" i="4"/>
  <c r="D22" i="4"/>
  <c r="C22" i="4"/>
  <c r="B22" i="4"/>
  <c r="E6" i="4"/>
  <c r="D6" i="4"/>
  <c r="C6" i="4"/>
  <c r="B6" i="4"/>
  <c r="E5" i="4"/>
  <c r="E8" i="4" s="1"/>
  <c r="D5" i="4"/>
  <c r="C5" i="4"/>
  <c r="B5" i="4"/>
  <c r="E4" i="4"/>
  <c r="D4" i="4"/>
  <c r="C4" i="4"/>
  <c r="B4" i="4"/>
  <c r="D5" i="2"/>
  <c r="D7" i="2" s="1"/>
  <c r="C5" i="2"/>
  <c r="C6" i="2" s="1"/>
  <c r="C14" i="2" s="1"/>
  <c r="E4" i="2"/>
  <c r="D4" i="2"/>
  <c r="C4" i="2"/>
  <c r="B4" i="2"/>
  <c r="E3" i="2"/>
  <c r="E5" i="2" s="1"/>
  <c r="D3" i="2"/>
  <c r="C3" i="2"/>
  <c r="B3" i="2"/>
  <c r="B5" i="2" s="1"/>
  <c r="C3" i="1"/>
  <c r="C5" i="1" s="1"/>
  <c r="C7" i="1" s="1"/>
  <c r="D3" i="1"/>
  <c r="D5" i="1" s="1"/>
  <c r="D7" i="1" s="1"/>
  <c r="E3" i="1"/>
  <c r="C4" i="1"/>
  <c r="D4" i="1"/>
  <c r="E4" i="1"/>
  <c r="E5" i="1"/>
  <c r="E7" i="1" s="1"/>
  <c r="B5" i="1"/>
  <c r="B4" i="1"/>
  <c r="B3" i="1"/>
  <c r="C11" i="1"/>
  <c r="D11" i="1"/>
  <c r="D13" i="1" s="1"/>
  <c r="E11" i="1"/>
  <c r="B11" i="1"/>
  <c r="B12" i="4"/>
  <c r="C18" i="7"/>
  <c r="D18" i="7"/>
  <c r="E18" i="7"/>
  <c r="B18" i="7"/>
  <c r="C15" i="7"/>
  <c r="C16" i="7" s="1"/>
  <c r="D15" i="7"/>
  <c r="D16" i="7" s="1"/>
  <c r="E15" i="7"/>
  <c r="E16" i="7" s="1"/>
  <c r="B16" i="7"/>
  <c r="B15" i="7"/>
  <c r="C16" i="2"/>
  <c r="D16" i="2"/>
  <c r="E16" i="2"/>
  <c r="B16" i="2"/>
  <c r="C17" i="4"/>
  <c r="C18" i="4" s="1"/>
  <c r="D17" i="4"/>
  <c r="D18" i="4" s="1"/>
  <c r="E17" i="4"/>
  <c r="B17" i="4"/>
  <c r="C16" i="1"/>
  <c r="C17" i="1" s="1"/>
  <c r="D16" i="1"/>
  <c r="D17" i="1" s="1"/>
  <c r="E16" i="1"/>
  <c r="B16" i="1"/>
  <c r="E20" i="4"/>
  <c r="D20" i="4"/>
  <c r="C20" i="4"/>
  <c r="B20" i="4"/>
  <c r="E16" i="4"/>
  <c r="E18" i="4" s="1"/>
  <c r="D16" i="4"/>
  <c r="C16" i="4"/>
  <c r="B16" i="4"/>
  <c r="B18" i="4" s="1"/>
  <c r="E12" i="4"/>
  <c r="D12" i="4"/>
  <c r="C12" i="4"/>
  <c r="E11" i="4"/>
  <c r="D11" i="4"/>
  <c r="C11" i="4"/>
  <c r="B11" i="4"/>
  <c r="E10" i="4"/>
  <c r="D10" i="4"/>
  <c r="C10" i="4"/>
  <c r="B10" i="4"/>
  <c r="E9" i="4"/>
  <c r="D9" i="4"/>
  <c r="C9" i="4"/>
  <c r="B9" i="4"/>
  <c r="C8" i="2"/>
  <c r="C13" i="2" s="1"/>
  <c r="D8" i="2"/>
  <c r="D13" i="2" s="1"/>
  <c r="E8" i="2"/>
  <c r="E13" i="2" s="1"/>
  <c r="C9" i="2"/>
  <c r="D9" i="2"/>
  <c r="E9" i="2"/>
  <c r="C10" i="2"/>
  <c r="D10" i="2"/>
  <c r="E10" i="2"/>
  <c r="C11" i="2"/>
  <c r="D11" i="2"/>
  <c r="E11" i="2"/>
  <c r="C12" i="2"/>
  <c r="D12" i="2"/>
  <c r="E12" i="2"/>
  <c r="B12" i="2"/>
  <c r="B8" i="2"/>
  <c r="E12" i="1"/>
  <c r="D12" i="1"/>
  <c r="C12" i="1"/>
  <c r="E10" i="1"/>
  <c r="D10" i="1"/>
  <c r="C10" i="1"/>
  <c r="E9" i="1"/>
  <c r="D9" i="1"/>
  <c r="C9" i="1"/>
  <c r="E8" i="1"/>
  <c r="D8" i="1"/>
  <c r="C8" i="1"/>
  <c r="C13" i="1" s="1"/>
  <c r="B12" i="1"/>
  <c r="B8" i="1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4" i="7"/>
  <c r="D14" i="7"/>
  <c r="C14" i="7"/>
  <c r="B14" i="7"/>
  <c r="B10" i="7"/>
  <c r="E9" i="7"/>
  <c r="D9" i="7"/>
  <c r="C9" i="7"/>
  <c r="B9" i="7"/>
  <c r="E8" i="7"/>
  <c r="D8" i="7"/>
  <c r="C8" i="7"/>
  <c r="B8" i="7"/>
  <c r="E19" i="2"/>
  <c r="D19" i="2"/>
  <c r="C19" i="2"/>
  <c r="B19" i="2"/>
  <c r="E15" i="2"/>
  <c r="E17" i="2" s="1"/>
  <c r="D15" i="2"/>
  <c r="C15" i="2"/>
  <c r="B15" i="2"/>
  <c r="B17" i="2" s="1"/>
  <c r="B11" i="2"/>
  <c r="B10" i="2"/>
  <c r="B9" i="2"/>
  <c r="C21" i="1"/>
  <c r="D21" i="1"/>
  <c r="E21" i="1"/>
  <c r="B21" i="1"/>
  <c r="C19" i="1"/>
  <c r="D19" i="1"/>
  <c r="E19" i="1"/>
  <c r="B9" i="1"/>
  <c r="B19" i="1"/>
  <c r="C15" i="1"/>
  <c r="D15" i="1"/>
  <c r="E15" i="1"/>
  <c r="E17" i="1" s="1"/>
  <c r="B15" i="1"/>
  <c r="B17" i="1" s="1"/>
  <c r="B10" i="1"/>
  <c r="C14" i="4" l="1"/>
  <c r="D14" i="4"/>
  <c r="C8" i="4"/>
  <c r="B8" i="4"/>
  <c r="D8" i="4"/>
  <c r="D7" i="4"/>
  <c r="E7" i="2"/>
  <c r="E6" i="2"/>
  <c r="E14" i="2" s="1"/>
  <c r="B7" i="2"/>
  <c r="B6" i="2"/>
  <c r="C7" i="2"/>
  <c r="D6" i="2"/>
  <c r="D14" i="2" s="1"/>
  <c r="E13" i="1"/>
  <c r="B13" i="1"/>
  <c r="B14" i="4"/>
  <c r="E7" i="4"/>
  <c r="D17" i="2"/>
  <c r="B13" i="2"/>
  <c r="B14" i="2" s="1"/>
  <c r="B18" i="2" s="1"/>
  <c r="B20" i="2" s="1"/>
  <c r="B22" i="2" s="1"/>
  <c r="B23" i="2" s="1"/>
  <c r="B25" i="2" s="1"/>
  <c r="C17" i="2"/>
  <c r="C7" i="4"/>
  <c r="B7" i="4"/>
  <c r="E14" i="4"/>
  <c r="E18" i="2"/>
  <c r="E20" i="2" s="1"/>
  <c r="E22" i="2" s="1"/>
  <c r="E23" i="2" s="1"/>
  <c r="E25" i="2" s="1"/>
  <c r="D6" i="1"/>
  <c r="D14" i="1" s="1"/>
  <c r="C6" i="1"/>
  <c r="C14" i="1" s="1"/>
  <c r="E6" i="1"/>
  <c r="E14" i="1" s="1"/>
  <c r="D13" i="7"/>
  <c r="C13" i="7"/>
  <c r="B13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D17" i="7"/>
  <c r="D19" i="7" s="1"/>
  <c r="D21" i="7" s="1"/>
  <c r="D22" i="7" s="1"/>
  <c r="D24" i="7" s="1"/>
  <c r="D18" i="2"/>
  <c r="D20" i="2" s="1"/>
  <c r="D22" i="2" s="1"/>
  <c r="D23" i="2" s="1"/>
  <c r="D25" i="2" s="1"/>
  <c r="C18" i="2"/>
  <c r="C20" i="2" s="1"/>
  <c r="C22" i="2" s="1"/>
  <c r="C23" i="2" s="1"/>
  <c r="C25" i="2" s="1"/>
  <c r="E15" i="4" l="1"/>
  <c r="E19" i="4" s="1"/>
  <c r="E21" i="4" s="1"/>
  <c r="E23" i="4" s="1"/>
  <c r="E24" i="4" s="1"/>
  <c r="E26" i="4" s="1"/>
  <c r="D15" i="4"/>
  <c r="D19" i="4" s="1"/>
  <c r="D21" i="4" s="1"/>
  <c r="D23" i="4" s="1"/>
  <c r="D24" i="4" s="1"/>
  <c r="D26" i="4" s="1"/>
  <c r="C15" i="4"/>
  <c r="C19" i="4" s="1"/>
  <c r="C21" i="4" s="1"/>
  <c r="C23" i="4" s="1"/>
  <c r="C24" i="4" s="1"/>
  <c r="C26" i="4" s="1"/>
  <c r="B6" i="1"/>
  <c r="B14" i="1" s="1"/>
  <c r="B18" i="1" s="1"/>
  <c r="B20" i="1" s="1"/>
  <c r="B22" i="1" s="1"/>
  <c r="B23" i="1" s="1"/>
  <c r="B25" i="1" s="1"/>
  <c r="B7" i="1"/>
  <c r="B15" i="4"/>
  <c r="B19" i="4" s="1"/>
  <c r="B21" i="4" s="1"/>
  <c r="B23" i="4" s="1"/>
  <c r="B24" i="4" s="1"/>
  <c r="B26" i="4" s="1"/>
  <c r="B17" i="7"/>
  <c r="B19" i="7" s="1"/>
  <c r="B21" i="7" s="1"/>
  <c r="B22" i="7" s="1"/>
  <c r="B24" i="7" s="1"/>
  <c r="E17" i="7"/>
  <c r="E19" i="7" s="1"/>
  <c r="E21" i="7" s="1"/>
  <c r="E22" i="7" s="1"/>
  <c r="E24" i="7" s="1"/>
  <c r="C18" i="1"/>
  <c r="C20" i="1" s="1"/>
  <c r="C22" i="1" s="1"/>
  <c r="C23" i="1" s="1"/>
  <c r="C25" i="1" s="1"/>
  <c r="E18" i="1"/>
  <c r="E20" i="1" s="1"/>
  <c r="E22" i="1" s="1"/>
  <c r="E23" i="1" s="1"/>
  <c r="E25" i="1" s="1"/>
  <c r="D18" i="1"/>
  <c r="D20" i="1" s="1"/>
  <c r="D22" i="1" s="1"/>
  <c r="D23" i="1" s="1"/>
  <c r="D25" i="1" s="1"/>
</calcChain>
</file>

<file path=xl/sharedStrings.xml><?xml version="1.0" encoding="utf-8"?>
<sst xmlns="http://schemas.openxmlformats.org/spreadsheetml/2006/main" count="100" uniqueCount="30">
  <si>
    <t>EV/EBITDAaL</t>
  </si>
  <si>
    <t>EBITDAaL 24</t>
  </si>
  <si>
    <t>EV</t>
  </si>
  <si>
    <t>Deuda</t>
  </si>
  <si>
    <t>Equity</t>
  </si>
  <si>
    <t>Número de acciones inicial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</si>
  <si>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</si>
  <si>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</si>
  <si>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</si>
  <si>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</si>
  <si>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</si>
  <si>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</si>
  <si>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</si>
  <si>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</si>
  <si>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</si>
  <si>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</si>
  <si>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</si>
  <si>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</si>
  <si>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</si>
  <si>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</si>
  <si>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</si>
  <si>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</si>
  <si>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</si>
  <si>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Preferentes canceladas (-)</t>
  </si>
  <si>
    <t>Caja (-)</t>
  </si>
  <si>
    <t>Venta FibreCo Telefónica (-)</t>
  </si>
  <si>
    <t>Venta FibreCo MásOrange (-)</t>
  </si>
  <si>
    <t>Covenant financiero (2,25xEBITDAaL)</t>
  </si>
  <si>
    <t>Reducción EBITDA por creación FibreCo Telefónica (-)</t>
  </si>
  <si>
    <t>Reducción EBITDA por creación FibreCo MásOrange (-)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</si>
</sst>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25"/>
  <sheetViews>
    <sheetView workbookViewId="0">
      <selection activeCell="B12" sqref="B12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28</v>
      </c>
      <c r="B3">
        <f>47</f>
        <v>47</v>
      </c>
      <c r="C3">
        <f>47</f>
        <v>47</v>
      </c>
      <c r="D3">
        <f>47</f>
        <v>47</v>
      </c>
      <c r="E3">
        <f>47</f>
        <v>47</v>
      </c>
    </row>
    <row r="4" spans="1:5" x14ac:dyDescent="0.25">
      <c r="A4" t="s">
        <v>29</v>
      </c>
      <c r="B4">
        <f>140</f>
        <v>140</v>
      </c>
      <c r="C4">
        <f>140</f>
        <v>140</v>
      </c>
      <c r="D4">
        <f>140</f>
        <v>140</v>
      </c>
      <c r="E4">
        <f>140</f>
        <v>140</v>
      </c>
    </row>
    <row r="5" spans="1:5" x14ac:dyDescent="0.25">
      <c r="A5" s="4" t="s">
        <v>14</v>
      </c>
      <c r="B5">
        <f>B2-B3-B4</f>
        <v>1049</v>
      </c>
      <c r="C5">
        <f t="shared" ref="C5:E5" si="0">C2-C3-C4</f>
        <v>1049</v>
      </c>
      <c r="D5">
        <f t="shared" si="0"/>
        <v>1049</v>
      </c>
      <c r="E5">
        <f t="shared" si="0"/>
        <v>1049</v>
      </c>
    </row>
    <row r="6" spans="1:5" x14ac:dyDescent="0.25">
      <c r="A6" s="4" t="s">
        <v>2</v>
      </c>
      <c r="B6">
        <f>B5*B1</f>
        <v>4196</v>
      </c>
      <c r="C6">
        <f t="shared" ref="C6:E6" si="1">C5*C1</f>
        <v>5245</v>
      </c>
      <c r="D6">
        <f t="shared" si="1"/>
        <v>6294</v>
      </c>
      <c r="E6">
        <f t="shared" si="1"/>
        <v>7343</v>
      </c>
    </row>
    <row r="7" spans="1:5" x14ac:dyDescent="0.25">
      <c r="A7" s="4" t="s">
        <v>27</v>
      </c>
      <c r="B7" s="2">
        <f>2.25*B5</f>
        <v>2360.25</v>
      </c>
      <c r="C7" s="2">
        <f t="shared" ref="C7:E7" si="2">2.25*C5</f>
        <v>2360.25</v>
      </c>
      <c r="D7" s="2">
        <f t="shared" si="2"/>
        <v>2360.25</v>
      </c>
      <c r="E7" s="2">
        <f t="shared" si="2"/>
        <v>2360.25</v>
      </c>
    </row>
    <row r="8" spans="1:5" x14ac:dyDescent="0.25">
      <c r="A8" t="s">
        <v>3</v>
      </c>
      <c r="B8">
        <f>3800</f>
        <v>3800</v>
      </c>
      <c r="C8">
        <f>3800</f>
        <v>3800</v>
      </c>
      <c r="D8">
        <f>3800</f>
        <v>3800</v>
      </c>
      <c r="E8">
        <f>3800</f>
        <v>3800</v>
      </c>
    </row>
    <row r="9" spans="1:5" x14ac:dyDescent="0.25">
      <c r="A9" t="s">
        <v>24</v>
      </c>
      <c r="B9">
        <f>260</f>
        <v>260</v>
      </c>
      <c r="C9">
        <f>260</f>
        <v>260</v>
      </c>
      <c r="D9">
        <f>260</f>
        <v>260</v>
      </c>
      <c r="E9">
        <f>260</f>
        <v>260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f>2160</f>
        <v>2160</v>
      </c>
      <c r="C11">
        <f>2160</f>
        <v>2160</v>
      </c>
      <c r="D11">
        <f>2160</f>
        <v>2160</v>
      </c>
      <c r="E11">
        <f>2160</f>
        <v>2160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B8-B9-B10-B11+B12</f>
        <v>2247</v>
      </c>
      <c r="C13">
        <f t="shared" ref="C13:E13" si="3">C8-C9-C10-C11+C12</f>
        <v>2247</v>
      </c>
      <c r="D13">
        <f t="shared" si="3"/>
        <v>2247</v>
      </c>
      <c r="E13">
        <f t="shared" si="3"/>
        <v>2247</v>
      </c>
    </row>
    <row r="14" spans="1:5" x14ac:dyDescent="0.25">
      <c r="A14" s="4" t="s">
        <v>4</v>
      </c>
      <c r="B14">
        <f>B6-B13</f>
        <v>1949</v>
      </c>
      <c r="C14">
        <f t="shared" ref="C14:E14" si="4">C6-C13</f>
        <v>2998</v>
      </c>
      <c r="D14">
        <f t="shared" si="4"/>
        <v>4047</v>
      </c>
      <c r="E14">
        <f t="shared" si="4"/>
        <v>5096</v>
      </c>
    </row>
    <row r="15" spans="1:5" x14ac:dyDescent="0.25">
      <c r="A15" t="s">
        <v>5</v>
      </c>
      <c r="B15" s="2">
        <f>759209905/1000000</f>
        <v>759.20990500000005</v>
      </c>
      <c r="C15" s="2">
        <f t="shared" ref="C15:E15" si="5">759209905/1000000</f>
        <v>759.20990500000005</v>
      </c>
      <c r="D15" s="2">
        <f t="shared" si="5"/>
        <v>759.20990500000005</v>
      </c>
      <c r="E15" s="2">
        <f t="shared" si="5"/>
        <v>759.20990500000005</v>
      </c>
    </row>
    <row r="16" spans="1:5" x14ac:dyDescent="0.25">
      <c r="A16" t="s">
        <v>23</v>
      </c>
      <c r="B16" s="2">
        <f>523240603/1000000</f>
        <v>523.24060299999996</v>
      </c>
      <c r="C16" s="2">
        <f t="shared" ref="C16:E16" si="6">523240603/1000000</f>
        <v>523.24060299999996</v>
      </c>
      <c r="D16" s="2">
        <f t="shared" si="6"/>
        <v>523.24060299999996</v>
      </c>
      <c r="E16" s="2">
        <f t="shared" si="6"/>
        <v>523.24060299999996</v>
      </c>
    </row>
    <row r="17" spans="1:5" x14ac:dyDescent="0.25">
      <c r="A17" s="4" t="s">
        <v>6</v>
      </c>
      <c r="B17" s="2">
        <f>B15-B16</f>
        <v>235.96930200000008</v>
      </c>
      <c r="C17" s="2">
        <f t="shared" ref="C17:E17" si="7">C15-C16</f>
        <v>235.96930200000008</v>
      </c>
      <c r="D17" s="2">
        <f t="shared" si="7"/>
        <v>235.96930200000008</v>
      </c>
      <c r="E17" s="2">
        <f t="shared" si="7"/>
        <v>235.96930200000008</v>
      </c>
    </row>
    <row r="18" spans="1:5" x14ac:dyDescent="0.25">
      <c r="A18" t="s">
        <v>7</v>
      </c>
      <c r="B18" s="1">
        <f>B14/B17</f>
        <v>8.2595489475999688</v>
      </c>
      <c r="C18" s="1">
        <f t="shared" ref="C18:E18" si="8">C14/C17</f>
        <v>12.705042455056288</v>
      </c>
      <c r="D18" s="1">
        <f t="shared" si="8"/>
        <v>17.15053596251261</v>
      </c>
      <c r="E18" s="1">
        <f t="shared" si="8"/>
        <v>21.596029469968929</v>
      </c>
    </row>
    <row r="19" spans="1:5" x14ac:dyDescent="0.25">
      <c r="A19" s="4" t="s">
        <v>10</v>
      </c>
      <c r="B19">
        <f>1.18</f>
        <v>1.18</v>
      </c>
      <c r="C19">
        <f t="shared" ref="C19:E19" si="9">1.18</f>
        <v>1.18</v>
      </c>
      <c r="D19">
        <f t="shared" si="9"/>
        <v>1.18</v>
      </c>
      <c r="E19">
        <f t="shared" si="9"/>
        <v>1.18</v>
      </c>
    </row>
    <row r="20" spans="1:5" x14ac:dyDescent="0.25">
      <c r="A20" t="s">
        <v>8</v>
      </c>
      <c r="B20" s="1">
        <f>B18/B19</f>
        <v>6.9996177522033634</v>
      </c>
      <c r="C20" s="1">
        <f t="shared" ref="C20:E20" si="10">C18/C19</f>
        <v>10.766985131403635</v>
      </c>
      <c r="D20" s="1">
        <f t="shared" si="10"/>
        <v>14.534352510603908</v>
      </c>
      <c r="E20" s="1">
        <f t="shared" si="10"/>
        <v>18.301719889804179</v>
      </c>
    </row>
    <row r="21" spans="1:5" x14ac:dyDescent="0.25">
      <c r="A21" t="s">
        <v>11</v>
      </c>
      <c r="B21">
        <f>1.57</f>
        <v>1.57</v>
      </c>
      <c r="C21">
        <f t="shared" ref="C21:E21" si="11">1.57</f>
        <v>1.57</v>
      </c>
      <c r="D21">
        <f t="shared" si="11"/>
        <v>1.57</v>
      </c>
      <c r="E21">
        <f t="shared" si="11"/>
        <v>1.57</v>
      </c>
    </row>
    <row r="22" spans="1:5" x14ac:dyDescent="0.25">
      <c r="A22" t="s">
        <v>22</v>
      </c>
      <c r="B22" s="1">
        <f>B20+B21</f>
        <v>8.5696177522033636</v>
      </c>
      <c r="C22" s="1">
        <f t="shared" ref="C22:E22" si="12">C20+C21</f>
        <v>12.336985131403635</v>
      </c>
      <c r="D22" s="1">
        <f t="shared" si="12"/>
        <v>16.104352510603906</v>
      </c>
      <c r="E22" s="1">
        <f t="shared" si="12"/>
        <v>19.871719889804179</v>
      </c>
    </row>
    <row r="23" spans="1:5" x14ac:dyDescent="0.25">
      <c r="A23" s="4" t="s">
        <v>20</v>
      </c>
      <c r="B23" s="2">
        <f>B22*100</f>
        <v>856.96177522033634</v>
      </c>
      <c r="C23" s="2">
        <f t="shared" ref="C23:E23" si="13">C22*100</f>
        <v>1233.6985131403635</v>
      </c>
      <c r="D23" s="2">
        <f t="shared" si="13"/>
        <v>1610.4352510603906</v>
      </c>
      <c r="E23" s="2">
        <f t="shared" si="13"/>
        <v>1987.1719889804178</v>
      </c>
    </row>
    <row r="24" spans="1:5" x14ac:dyDescent="0.25">
      <c r="A24" s="4" t="s">
        <v>15</v>
      </c>
      <c r="B24">
        <v>595</v>
      </c>
      <c r="C24">
        <v>595</v>
      </c>
      <c r="D24">
        <v>595</v>
      </c>
      <c r="E24">
        <v>595</v>
      </c>
    </row>
    <row r="25" spans="1:5" x14ac:dyDescent="0.25">
      <c r="A25" s="4" t="s">
        <v>16</v>
      </c>
      <c r="B25" s="3">
        <f>B23/B24-1</f>
        <v>0.44027189112661569</v>
      </c>
      <c r="C25" s="3">
        <f t="shared" ref="C25:E25" si="14">C23/C24-1</f>
        <v>1.0734428792275015</v>
      </c>
      <c r="D25" s="3">
        <f t="shared" si="14"/>
        <v>1.7066138673283873</v>
      </c>
      <c r="E25" s="3">
        <f t="shared" si="14"/>
        <v>2.3397848554292735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25"/>
  <sheetViews>
    <sheetView workbookViewId="0">
      <selection activeCell="A3" sqref="A3:E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28</v>
      </c>
      <c r="B3">
        <f>47</f>
        <v>47</v>
      </c>
      <c r="C3">
        <f>47</f>
        <v>47</v>
      </c>
      <c r="D3">
        <f>47</f>
        <v>47</v>
      </c>
      <c r="E3">
        <f>47</f>
        <v>47</v>
      </c>
    </row>
    <row r="4" spans="1:5" x14ac:dyDescent="0.25">
      <c r="A4" t="s">
        <v>29</v>
      </c>
      <c r="B4">
        <f>140</f>
        <v>140</v>
      </c>
      <c r="C4">
        <f>140</f>
        <v>140</v>
      </c>
      <c r="D4">
        <f>140</f>
        <v>140</v>
      </c>
      <c r="E4">
        <f>140</f>
        <v>140</v>
      </c>
    </row>
    <row r="5" spans="1:5" x14ac:dyDescent="0.25">
      <c r="A5" s="4" t="s">
        <v>14</v>
      </c>
      <c r="B5">
        <f>B2-B3-B4</f>
        <v>1049</v>
      </c>
      <c r="C5">
        <f t="shared" ref="C5:E5" si="0">C2-C3-C4</f>
        <v>1049</v>
      </c>
      <c r="D5">
        <f t="shared" si="0"/>
        <v>1049</v>
      </c>
      <c r="E5">
        <f t="shared" si="0"/>
        <v>1049</v>
      </c>
    </row>
    <row r="6" spans="1:5" x14ac:dyDescent="0.25">
      <c r="A6" s="4" t="s">
        <v>2</v>
      </c>
      <c r="B6">
        <f>B5*B1</f>
        <v>4196</v>
      </c>
      <c r="C6">
        <f t="shared" ref="C6:E6" si="1">C5*C1</f>
        <v>5245</v>
      </c>
      <c r="D6">
        <f t="shared" si="1"/>
        <v>6294</v>
      </c>
      <c r="E6">
        <f t="shared" si="1"/>
        <v>7343</v>
      </c>
    </row>
    <row r="7" spans="1:5" x14ac:dyDescent="0.25">
      <c r="A7" s="4" t="s">
        <v>27</v>
      </c>
      <c r="B7" s="2">
        <f>2.25*B5</f>
        <v>2360.25</v>
      </c>
      <c r="C7" s="2">
        <f t="shared" ref="C7:E7" si="2">2.25*C5</f>
        <v>2360.25</v>
      </c>
      <c r="D7" s="2">
        <f t="shared" si="2"/>
        <v>2360.25</v>
      </c>
      <c r="E7" s="2">
        <f t="shared" si="2"/>
        <v>2360.25</v>
      </c>
    </row>
    <row r="8" spans="1:5" x14ac:dyDescent="0.25">
      <c r="A8" t="s">
        <v>3</v>
      </c>
      <c r="B8">
        <f>3800</f>
        <v>3800</v>
      </c>
      <c r="C8">
        <f>3800</f>
        <v>3800</v>
      </c>
      <c r="D8">
        <f>3800</f>
        <v>3800</v>
      </c>
      <c r="E8">
        <f>3800</f>
        <v>3800</v>
      </c>
    </row>
    <row r="9" spans="1:5" x14ac:dyDescent="0.25">
      <c r="A9" t="s">
        <v>24</v>
      </c>
      <c r="B9">
        <f>260</f>
        <v>260</v>
      </c>
      <c r="C9">
        <f>260</f>
        <v>260</v>
      </c>
      <c r="D9">
        <f>260</f>
        <v>260</v>
      </c>
      <c r="E9">
        <f>260</f>
        <v>260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f>1776</f>
        <v>1776</v>
      </c>
      <c r="C11">
        <f>1776</f>
        <v>1776</v>
      </c>
      <c r="D11">
        <f>1776</f>
        <v>1776</v>
      </c>
      <c r="E11">
        <f>1776</f>
        <v>1776</v>
      </c>
    </row>
    <row r="12" spans="1:5" x14ac:dyDescent="0.25">
      <c r="A12" t="s">
        <v>9</v>
      </c>
      <c r="B12">
        <f>967</f>
        <v>967</v>
      </c>
      <c r="C12">
        <f>967</f>
        <v>967</v>
      </c>
      <c r="D12">
        <f>967</f>
        <v>967</v>
      </c>
      <c r="E12">
        <f>967</f>
        <v>967</v>
      </c>
    </row>
    <row r="13" spans="1:5" x14ac:dyDescent="0.25">
      <c r="A13" s="4" t="s">
        <v>18</v>
      </c>
      <c r="B13">
        <f>B8-B9-B10-B11+B12</f>
        <v>2193</v>
      </c>
      <c r="C13">
        <f t="shared" ref="C13:E13" si="3">C8-C9-C10-C11+C12</f>
        <v>2193</v>
      </c>
      <c r="D13">
        <f t="shared" si="3"/>
        <v>2193</v>
      </c>
      <c r="E13">
        <f t="shared" si="3"/>
        <v>2193</v>
      </c>
    </row>
    <row r="14" spans="1:5" x14ac:dyDescent="0.25">
      <c r="A14" s="4" t="s">
        <v>4</v>
      </c>
      <c r="B14">
        <f>B6-B13</f>
        <v>2003</v>
      </c>
      <c r="C14">
        <f t="shared" ref="C14:E14" si="4">C6-C13</f>
        <v>3052</v>
      </c>
      <c r="D14">
        <f t="shared" si="4"/>
        <v>4101</v>
      </c>
      <c r="E14">
        <f t="shared" si="4"/>
        <v>5150</v>
      </c>
    </row>
    <row r="15" spans="1:5" x14ac:dyDescent="0.25">
      <c r="A15" t="s">
        <v>5</v>
      </c>
      <c r="B15" s="2">
        <f>759209905/1000000</f>
        <v>759.20990500000005</v>
      </c>
      <c r="C15" s="2">
        <f t="shared" ref="C15:E15" si="5">759209905/1000000</f>
        <v>759.20990500000005</v>
      </c>
      <c r="D15" s="2">
        <f t="shared" si="5"/>
        <v>759.20990500000005</v>
      </c>
      <c r="E15" s="2">
        <f t="shared" si="5"/>
        <v>759.20990500000005</v>
      </c>
    </row>
    <row r="16" spans="1:5" x14ac:dyDescent="0.25">
      <c r="A16" t="s">
        <v>23</v>
      </c>
      <c r="B16" s="2">
        <f>523240603/1000000</f>
        <v>523.24060299999996</v>
      </c>
      <c r="C16" s="2">
        <f t="shared" ref="C16:E16" si="6">523240603/1000000</f>
        <v>523.24060299999996</v>
      </c>
      <c r="D16" s="2">
        <f t="shared" si="6"/>
        <v>523.24060299999996</v>
      </c>
      <c r="E16" s="2">
        <f t="shared" si="6"/>
        <v>523.24060299999996</v>
      </c>
    </row>
    <row r="17" spans="1:5" x14ac:dyDescent="0.25">
      <c r="A17" s="4" t="s">
        <v>6</v>
      </c>
      <c r="B17" s="2">
        <f>B15-B16</f>
        <v>235.96930200000008</v>
      </c>
      <c r="C17" s="2">
        <f t="shared" ref="C17:E17" si="7">C15-C16</f>
        <v>235.96930200000008</v>
      </c>
      <c r="D17" s="2">
        <f t="shared" si="7"/>
        <v>235.96930200000008</v>
      </c>
      <c r="E17" s="2">
        <f t="shared" si="7"/>
        <v>235.96930200000008</v>
      </c>
    </row>
    <row r="18" spans="1:5" x14ac:dyDescent="0.25">
      <c r="A18" t="s">
        <v>7</v>
      </c>
      <c r="B18" s="1">
        <f>B14/B17</f>
        <v>8.4883922740085875</v>
      </c>
      <c r="C18" s="1">
        <f t="shared" ref="C18:E18" si="8">C14/C17</f>
        <v>12.933885781464909</v>
      </c>
      <c r="D18" s="1">
        <f t="shared" si="8"/>
        <v>17.379379288921228</v>
      </c>
      <c r="E18" s="1">
        <f t="shared" si="8"/>
        <v>21.824872796377548</v>
      </c>
    </row>
    <row r="19" spans="1:5" x14ac:dyDescent="0.25">
      <c r="A19" s="4" t="s">
        <v>10</v>
      </c>
      <c r="B19">
        <f>1.18</f>
        <v>1.18</v>
      </c>
      <c r="C19">
        <f t="shared" ref="C19:E19" si="9">1.18</f>
        <v>1.18</v>
      </c>
      <c r="D19">
        <f t="shared" si="9"/>
        <v>1.18</v>
      </c>
      <c r="E19">
        <f t="shared" si="9"/>
        <v>1.18</v>
      </c>
    </row>
    <row r="20" spans="1:5" x14ac:dyDescent="0.25">
      <c r="A20" t="s">
        <v>8</v>
      </c>
      <c r="B20" s="1">
        <f>B18/B19</f>
        <v>7.1935527745835488</v>
      </c>
      <c r="C20" s="1">
        <f t="shared" ref="C20:E20" si="10">C18/C19</f>
        <v>10.960920153783821</v>
      </c>
      <c r="D20" s="1">
        <f t="shared" si="10"/>
        <v>14.728287532984092</v>
      </c>
      <c r="E20" s="1">
        <f t="shared" si="10"/>
        <v>18.495654912184364</v>
      </c>
    </row>
    <row r="21" spans="1:5" x14ac:dyDescent="0.25">
      <c r="A21" t="s">
        <v>11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s="4" t="s">
        <v>19</v>
      </c>
      <c r="B22" s="1">
        <f>B20+B21</f>
        <v>7.1935527745835488</v>
      </c>
      <c r="C22" s="1">
        <f t="shared" ref="C22:E22" si="11">C20+C21</f>
        <v>10.960920153783821</v>
      </c>
      <c r="D22" s="1">
        <f t="shared" si="11"/>
        <v>14.728287532984092</v>
      </c>
      <c r="E22" s="1">
        <f t="shared" si="11"/>
        <v>18.495654912184364</v>
      </c>
    </row>
    <row r="23" spans="1:5" x14ac:dyDescent="0.25">
      <c r="A23" s="4" t="s">
        <v>20</v>
      </c>
      <c r="B23" s="2">
        <f>B22*100</f>
        <v>719.35527745835486</v>
      </c>
      <c r="C23" s="2">
        <f t="shared" ref="C23:E23" si="12">C22*100</f>
        <v>1096.092015378382</v>
      </c>
      <c r="D23" s="2">
        <f t="shared" si="12"/>
        <v>1472.8287532984093</v>
      </c>
      <c r="E23" s="2">
        <f t="shared" si="12"/>
        <v>1849.5654912184364</v>
      </c>
    </row>
    <row r="24" spans="1:5" x14ac:dyDescent="0.25">
      <c r="A24" s="4" t="s">
        <v>15</v>
      </c>
      <c r="B24">
        <v>595</v>
      </c>
      <c r="C24">
        <v>595</v>
      </c>
      <c r="D24">
        <v>595</v>
      </c>
      <c r="E24">
        <v>595</v>
      </c>
    </row>
    <row r="25" spans="1:5" x14ac:dyDescent="0.25">
      <c r="A25" s="4" t="s">
        <v>16</v>
      </c>
      <c r="B25" s="3">
        <f>B23/B24-1</f>
        <v>0.20900046631656277</v>
      </c>
      <c r="C25" s="3">
        <f t="shared" ref="C25:E25" si="13">C23/C24-1</f>
        <v>0.84217145441744878</v>
      </c>
      <c r="D25" s="3">
        <f t="shared" si="13"/>
        <v>1.4753424425183348</v>
      </c>
      <c r="E25" s="3">
        <f t="shared" si="13"/>
        <v>2.1085134306192206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26"/>
  <sheetViews>
    <sheetView tabSelected="1" workbookViewId="0">
      <selection activeCell="B13" sqref="B13:E13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17</v>
      </c>
      <c r="B3">
        <v>230</v>
      </c>
      <c r="C3">
        <v>230</v>
      </c>
      <c r="D3">
        <v>230</v>
      </c>
      <c r="E3">
        <v>230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B2+B3-B4-B5</f>
        <v>1279</v>
      </c>
      <c r="C6">
        <f t="shared" ref="C6:E6" si="0">C2+C3-C4-C5</f>
        <v>1279</v>
      </c>
      <c r="D6">
        <f t="shared" si="0"/>
        <v>1279</v>
      </c>
      <c r="E6">
        <f t="shared" si="0"/>
        <v>1279</v>
      </c>
    </row>
    <row r="7" spans="1:5" x14ac:dyDescent="0.25">
      <c r="A7" s="4" t="s">
        <v>2</v>
      </c>
      <c r="B7">
        <f>B6*B1</f>
        <v>5116</v>
      </c>
      <c r="C7">
        <f t="shared" ref="C7:E7" si="1">C6*C1</f>
        <v>6395</v>
      </c>
      <c r="D7">
        <f t="shared" si="1"/>
        <v>7674</v>
      </c>
      <c r="E7">
        <f t="shared" si="1"/>
        <v>8953</v>
      </c>
    </row>
    <row r="8" spans="1:5" x14ac:dyDescent="0.25">
      <c r="A8" s="4" t="s">
        <v>27</v>
      </c>
      <c r="B8" s="2">
        <f>2.25*B6</f>
        <v>2877.75</v>
      </c>
      <c r="C8" s="2">
        <f t="shared" ref="C8:E8" si="2">2.25*C6</f>
        <v>2877.75</v>
      </c>
      <c r="D8" s="2">
        <f t="shared" si="2"/>
        <v>2877.75</v>
      </c>
      <c r="E8" s="2">
        <f t="shared" si="2"/>
        <v>2877.75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1776</f>
        <v>1776</v>
      </c>
      <c r="C12">
        <f>1776</f>
        <v>1776</v>
      </c>
      <c r="D12">
        <f>1776</f>
        <v>1776</v>
      </c>
      <c r="E12">
        <f>1776</f>
        <v>1776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x14ac:dyDescent="0.25">
      <c r="A14" s="4" t="s">
        <v>18</v>
      </c>
      <c r="B14">
        <f>B9-B10-B11-B12+B13</f>
        <v>2631</v>
      </c>
      <c r="C14">
        <f t="shared" ref="C14:E14" si="3">C9-C10-C11-C12+C13</f>
        <v>2631</v>
      </c>
      <c r="D14">
        <f t="shared" si="3"/>
        <v>2631</v>
      </c>
      <c r="E14">
        <f t="shared" si="3"/>
        <v>2631</v>
      </c>
    </row>
    <row r="15" spans="1:5" x14ac:dyDescent="0.25">
      <c r="A15" s="4" t="s">
        <v>4</v>
      </c>
      <c r="B15">
        <f>B7-B14</f>
        <v>2485</v>
      </c>
      <c r="C15">
        <f t="shared" ref="C15:E15" si="4">C7-C14</f>
        <v>3764</v>
      </c>
      <c r="D15">
        <f t="shared" si="4"/>
        <v>5043</v>
      </c>
      <c r="E15">
        <f t="shared" si="4"/>
        <v>6322</v>
      </c>
    </row>
    <row r="16" spans="1:5" x14ac:dyDescent="0.25">
      <c r="A16" t="s">
        <v>5</v>
      </c>
      <c r="B16" s="2">
        <f>759209905/1000000</f>
        <v>759.20990500000005</v>
      </c>
      <c r="C16" s="2">
        <f t="shared" ref="C16:E16" si="5">759209905/1000000</f>
        <v>759.20990500000005</v>
      </c>
      <c r="D16" s="2">
        <f t="shared" si="5"/>
        <v>759.20990500000005</v>
      </c>
      <c r="E16" s="2">
        <f t="shared" si="5"/>
        <v>759.20990500000005</v>
      </c>
    </row>
    <row r="17" spans="1:5" x14ac:dyDescent="0.25">
      <c r="A17" t="s">
        <v>23</v>
      </c>
      <c r="B17" s="2">
        <f>523240603/1000000</f>
        <v>523.24060299999996</v>
      </c>
      <c r="C17" s="2">
        <f t="shared" ref="C17:E17" si="6">523240603/1000000</f>
        <v>523.24060299999996</v>
      </c>
      <c r="D17" s="2">
        <f t="shared" si="6"/>
        <v>523.24060299999996</v>
      </c>
      <c r="E17" s="2">
        <f t="shared" si="6"/>
        <v>523.24060299999996</v>
      </c>
    </row>
    <row r="18" spans="1:5" x14ac:dyDescent="0.25">
      <c r="A18" s="4" t="s">
        <v>6</v>
      </c>
      <c r="B18" s="2">
        <f>B16-B17</f>
        <v>235.96930200000008</v>
      </c>
      <c r="C18" s="2">
        <f t="shared" ref="C18:E18" si="7">C16-C17</f>
        <v>235.96930200000008</v>
      </c>
      <c r="D18" s="2">
        <f t="shared" si="7"/>
        <v>235.96930200000008</v>
      </c>
      <c r="E18" s="2">
        <f t="shared" si="7"/>
        <v>235.96930200000008</v>
      </c>
    </row>
    <row r="19" spans="1:5" x14ac:dyDescent="0.25">
      <c r="A19" t="s">
        <v>7</v>
      </c>
      <c r="B19" s="1">
        <f>B15/B18</f>
        <v>10.531030854174409</v>
      </c>
      <c r="C19" s="1">
        <f t="shared" ref="C19:E19" si="8">C15/C18</f>
        <v>15.951227418556329</v>
      </c>
      <c r="D19" s="1">
        <f t="shared" si="8"/>
        <v>21.371423982938246</v>
      </c>
      <c r="E19" s="1">
        <f t="shared" si="8"/>
        <v>26.791620547320168</v>
      </c>
    </row>
    <row r="20" spans="1:5" x14ac:dyDescent="0.25">
      <c r="A20" s="4" t="s">
        <v>10</v>
      </c>
      <c r="B20">
        <f>1.18</f>
        <v>1.18</v>
      </c>
      <c r="C20">
        <f t="shared" ref="C20:E20" si="9">1.18</f>
        <v>1.18</v>
      </c>
      <c r="D20">
        <f t="shared" si="9"/>
        <v>1.18</v>
      </c>
      <c r="E20">
        <f t="shared" si="9"/>
        <v>1.18</v>
      </c>
    </row>
    <row r="21" spans="1:5" x14ac:dyDescent="0.25">
      <c r="A21" t="s">
        <v>8</v>
      </c>
      <c r="B21" s="1">
        <f>B19/B20</f>
        <v>8.9246024187918724</v>
      </c>
      <c r="C21" s="1">
        <f t="shared" ref="C21:E21" si="10">C19/C20</f>
        <v>13.517989337759602</v>
      </c>
      <c r="D21" s="1">
        <f t="shared" si="10"/>
        <v>18.111376256727329</v>
      </c>
      <c r="E21" s="1">
        <f t="shared" si="10"/>
        <v>22.70476317569506</v>
      </c>
    </row>
    <row r="22" spans="1:5" x14ac:dyDescent="0.25">
      <c r="A22" t="s">
        <v>11</v>
      </c>
      <c r="B22">
        <f>1.57</f>
        <v>1.57</v>
      </c>
      <c r="C22">
        <f t="shared" ref="C22:E22" si="11">1.57</f>
        <v>1.57</v>
      </c>
      <c r="D22">
        <f t="shared" si="11"/>
        <v>1.57</v>
      </c>
      <c r="E22">
        <f t="shared" si="11"/>
        <v>1.57</v>
      </c>
    </row>
    <row r="23" spans="1:5" x14ac:dyDescent="0.25">
      <c r="A23" s="4" t="s">
        <v>19</v>
      </c>
      <c r="B23" s="1">
        <f>B21+B22</f>
        <v>10.494602418791873</v>
      </c>
      <c r="C23" s="1">
        <f t="shared" ref="C23:E23" si="12">C21+C22</f>
        <v>15.087989337759602</v>
      </c>
      <c r="D23" s="1">
        <f t="shared" si="12"/>
        <v>19.681376256727329</v>
      </c>
      <c r="E23" s="1">
        <f t="shared" si="12"/>
        <v>24.27476317569506</v>
      </c>
    </row>
    <row r="24" spans="1:5" x14ac:dyDescent="0.25">
      <c r="A24" s="4" t="s">
        <v>20</v>
      </c>
      <c r="B24" s="2">
        <f>B23*100</f>
        <v>1049.4602418791874</v>
      </c>
      <c r="C24" s="2">
        <f t="shared" ref="C24:E24" si="13">C23*100</f>
        <v>1508.7989337759602</v>
      </c>
      <c r="D24" s="2">
        <f t="shared" si="13"/>
        <v>1968.1376256727328</v>
      </c>
      <c r="E24" s="2">
        <f t="shared" si="13"/>
        <v>2427.4763175695061</v>
      </c>
    </row>
    <row r="25" spans="1:5" x14ac:dyDescent="0.25">
      <c r="A25" s="4" t="s">
        <v>15</v>
      </c>
      <c r="B25">
        <v>595</v>
      </c>
      <c r="C25">
        <v>595</v>
      </c>
      <c r="D25">
        <v>595</v>
      </c>
      <c r="E25">
        <v>595</v>
      </c>
    </row>
    <row r="26" spans="1:5" x14ac:dyDescent="0.25">
      <c r="A26" s="4" t="s">
        <v>16</v>
      </c>
      <c r="B26" s="3">
        <f>B24/B25-1</f>
        <v>0.76379872584737374</v>
      </c>
      <c r="C26" s="3">
        <f t="shared" ref="C26:E26" si="14">C24/C25-1</f>
        <v>1.5357965273545551</v>
      </c>
      <c r="D26" s="3">
        <f t="shared" si="14"/>
        <v>2.307794328861736</v>
      </c>
      <c r="E26" s="3">
        <f t="shared" si="14"/>
        <v>3.0797921303689177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A15" sqref="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12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13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14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18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4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6">523240603/1000000</f>
        <v>523.24060299999996</v>
      </c>
      <c r="D15" s="2">
        <f t="shared" si="6"/>
        <v>523.24060299999996</v>
      </c>
      <c r="E15" s="2">
        <f t="shared" si="6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7">C14-C15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t="s">
        <v>7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10</v>
      </c>
      <c r="B18">
        <f>1.2</f>
        <v>1.2</v>
      </c>
      <c r="C18">
        <f t="shared" ref="C18:E18" si="9">1.2</f>
        <v>1.2</v>
      </c>
      <c r="D18">
        <f t="shared" si="9"/>
        <v>1.2</v>
      </c>
      <c r="E18">
        <f t="shared" si="9"/>
        <v>1.2</v>
      </c>
    </row>
    <row r="19" spans="1:5" x14ac:dyDescent="0.25">
      <c r="A19" t="s">
        <v>21</v>
      </c>
      <c r="B19" s="1">
        <f>B17/B18</f>
        <v>7.6598946756218291</v>
      </c>
      <c r="C19" s="1">
        <f t="shared" ref="C19:E19" si="10">C17/C18</f>
        <v>11.897734053559217</v>
      </c>
      <c r="D19" s="1">
        <f t="shared" si="10"/>
        <v>16.135573431496606</v>
      </c>
      <c r="E19" s="1">
        <f t="shared" si="10"/>
        <v>20.373412809433994</v>
      </c>
    </row>
    <row r="20" spans="1:5" x14ac:dyDescent="0.25">
      <c r="A20" t="s">
        <v>11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19</v>
      </c>
      <c r="B21" s="1">
        <f>B19+B20</f>
        <v>9.2298946756218285</v>
      </c>
      <c r="C21" s="1">
        <f t="shared" ref="C21:E21" si="12">C19+C20</f>
        <v>13.467734053559218</v>
      </c>
      <c r="D21" s="1">
        <f t="shared" si="12"/>
        <v>17.705573431496607</v>
      </c>
      <c r="E21" s="1">
        <f t="shared" si="12"/>
        <v>21.943412809433994</v>
      </c>
    </row>
    <row r="22" spans="1:5" x14ac:dyDescent="0.25">
      <c r="A22" s="4" t="s">
        <v>20</v>
      </c>
      <c r="B22" s="2">
        <f>B21*100</f>
        <v>922.98946756218288</v>
      </c>
      <c r="C22" s="2">
        <f t="shared" ref="C22:E22" si="13">C21*100</f>
        <v>1346.7734053559218</v>
      </c>
      <c r="D22" s="2">
        <f t="shared" si="13"/>
        <v>1770.5573431496607</v>
      </c>
      <c r="E22" s="2">
        <f t="shared" si="13"/>
        <v>2194.3412809433994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0.55124280262551739</v>
      </c>
      <c r="C24" s="3">
        <f t="shared" ref="C24:E24" si="14">C22/C23-1</f>
        <v>1.2634847148839023</v>
      </c>
      <c r="D24" s="3">
        <f t="shared" si="14"/>
        <v>1.9757266271422869</v>
      </c>
      <c r="E24" s="3">
        <f t="shared" si="14"/>
        <v>2.6879685394006714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Dividendo + Preferentes</vt:lpstr>
      <vt:lpstr>Dividendo parcial + Preferentes</vt:lpstr>
      <vt:lpstr>Reestructuracion (+Div+Pre)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2025-07-20T11:45:26Z</dcterms:modified>
</cp:coreProperties>
</file>