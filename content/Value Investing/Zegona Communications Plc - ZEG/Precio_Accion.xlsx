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fa\Documents\GitHub\palfaros-knowledge-base\content\Value Investing\Zegona Communications Plc - ZEG\"/>
    </mc:Choice>
  </mc:AlternateContent>
  <xr:revisionPtr revIDLastSave="0" documentId="13_ncr:1_{8DCC99C3-3053-4CB9-B3C3-BDA6E6D4A5EF}" xr6:coauthVersionLast="47" xr6:coauthVersionMax="47" xr10:uidLastSave="{00000000-0000-0000-0000-000000000000}"/>
  <bookViews>
    <workbookView xWindow="14400" yWindow="0" windowWidth="14400" windowHeight="15600" firstSheet="8" activeTab="8" xr2:uid="{BFFC155E-449D-4069-884C-DE4A947B6688}"/>
  </bookViews>
  <sheets>
    <sheet name="Dividendo parcial + Preferentes" sheetId="2" r:id="rId1"/>
    <sheet name="Dividendo + Preferentes" sheetId="1" r:id="rId2"/>
    <sheet name="Reestructuracion (+Div+Pre)" sheetId="4" r:id="rId3"/>
    <sheet name="Venta FibreCo MasOrange" sheetId="8" r:id="rId4"/>
    <sheet name="Venta FibreCo MasOrange + Reest" sheetId="9" r:id="rId5"/>
    <sheet name="Venta 2 FibreCos" sheetId="10" r:id="rId6"/>
    <sheet name="Venta 2 FibreCos + Reestructura" sheetId="11" r:id="rId7"/>
    <sheet name="FibreCo Ret Capital Allocation" sheetId="12" r:id="rId8"/>
    <sheet name="Resultados FY26 EV-EBITDAaL" sheetId="13" r:id="rId9"/>
    <sheet name="Resultados FY26 EV-OpCF" sheetId="14" r:id="rId10"/>
    <sheet name="Gabriel Castro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4" l="1"/>
  <c r="E13" i="13"/>
  <c r="E15" i="13" s="1"/>
  <c r="C17" i="13"/>
  <c r="D17" i="13" s="1"/>
  <c r="E17" i="13" s="1"/>
  <c r="B7" i="13"/>
  <c r="B8" i="13"/>
  <c r="F17" i="14"/>
  <c r="F18" i="14" s="1"/>
  <c r="F19" i="14" s="1"/>
  <c r="F21" i="14" s="1"/>
  <c r="F23" i="14" s="1"/>
  <c r="F24" i="14" s="1"/>
  <c r="F26" i="14" s="1"/>
  <c r="F20" i="14"/>
  <c r="F22" i="14"/>
  <c r="F25" i="14"/>
  <c r="F12" i="14"/>
  <c r="F13" i="14"/>
  <c r="F14" i="14"/>
  <c r="F5" i="14"/>
  <c r="F7" i="14" s="1"/>
  <c r="F8" i="14" s="1"/>
  <c r="F6" i="14"/>
  <c r="C3" i="14"/>
  <c r="D3" i="14"/>
  <c r="E3" i="14"/>
  <c r="F3" i="14"/>
  <c r="F4" i="14" s="1"/>
  <c r="B3" i="14"/>
  <c r="F2" i="14"/>
  <c r="E2" i="14"/>
  <c r="E4" i="14" s="1"/>
  <c r="D2" i="14"/>
  <c r="C2" i="14"/>
  <c r="B2" i="14"/>
  <c r="E25" i="14"/>
  <c r="D25" i="14"/>
  <c r="C25" i="14"/>
  <c r="B25" i="14"/>
  <c r="E22" i="14"/>
  <c r="D22" i="14"/>
  <c r="C22" i="14"/>
  <c r="B22" i="14"/>
  <c r="E20" i="14"/>
  <c r="D20" i="14"/>
  <c r="C20" i="14"/>
  <c r="B20" i="14"/>
  <c r="E17" i="14"/>
  <c r="E18" i="14" s="1"/>
  <c r="D17" i="14"/>
  <c r="D18" i="14" s="1"/>
  <c r="C17" i="14"/>
  <c r="C18" i="14" s="1"/>
  <c r="B17" i="14"/>
  <c r="B18" i="14" s="1"/>
  <c r="E13" i="14"/>
  <c r="D13" i="14"/>
  <c r="C13" i="14"/>
  <c r="B13" i="14"/>
  <c r="E12" i="14"/>
  <c r="D12" i="14"/>
  <c r="C12" i="14"/>
  <c r="B12" i="14"/>
  <c r="E6" i="14"/>
  <c r="D6" i="14"/>
  <c r="C6" i="14"/>
  <c r="E5" i="14"/>
  <c r="E7" i="14" s="1"/>
  <c r="D5" i="14"/>
  <c r="D7" i="14" s="1"/>
  <c r="C5" i="14"/>
  <c r="B5" i="14"/>
  <c r="C26" i="13"/>
  <c r="D26" i="13"/>
  <c r="E26" i="13"/>
  <c r="B26" i="13"/>
  <c r="C23" i="13"/>
  <c r="D23" i="13"/>
  <c r="E23" i="13"/>
  <c r="B23" i="13"/>
  <c r="C21" i="13"/>
  <c r="D21" i="13"/>
  <c r="E21" i="13"/>
  <c r="B21" i="13"/>
  <c r="C7" i="13"/>
  <c r="D7" i="13"/>
  <c r="E7" i="13"/>
  <c r="C6" i="13"/>
  <c r="D6" i="13"/>
  <c r="E6" i="13"/>
  <c r="B6" i="13"/>
  <c r="C3" i="13"/>
  <c r="D3" i="13"/>
  <c r="E3" i="13"/>
  <c r="E5" i="13" s="1"/>
  <c r="B3" i="13"/>
  <c r="E18" i="13"/>
  <c r="D18" i="13"/>
  <c r="C18" i="13"/>
  <c r="C19" i="13" s="1"/>
  <c r="B18" i="13"/>
  <c r="B19" i="13" s="1"/>
  <c r="E14" i="13"/>
  <c r="D14" i="13"/>
  <c r="C14" i="13"/>
  <c r="B14" i="13"/>
  <c r="B13" i="13"/>
  <c r="C30" i="12"/>
  <c r="C31" i="12" s="1"/>
  <c r="D30" i="12"/>
  <c r="D31" i="12" s="1"/>
  <c r="E30" i="12"/>
  <c r="E31" i="12" s="1"/>
  <c r="B30" i="12"/>
  <c r="B31" i="12" s="1"/>
  <c r="E29" i="12"/>
  <c r="D29" i="12"/>
  <c r="C29" i="12"/>
  <c r="B29" i="12"/>
  <c r="D15" i="12"/>
  <c r="E13" i="12"/>
  <c r="D13" i="12"/>
  <c r="C13" i="12"/>
  <c r="B13" i="12"/>
  <c r="C10" i="12"/>
  <c r="C15" i="12" s="1"/>
  <c r="D10" i="12"/>
  <c r="E10" i="12"/>
  <c r="E15" i="12" s="1"/>
  <c r="B10" i="12"/>
  <c r="B15" i="12" s="1"/>
  <c r="C33" i="12"/>
  <c r="D33" i="12"/>
  <c r="E33" i="12"/>
  <c r="B33" i="12"/>
  <c r="E35" i="12"/>
  <c r="D35" i="12"/>
  <c r="C35" i="12"/>
  <c r="B35" i="12"/>
  <c r="E28" i="12"/>
  <c r="D28" i="12"/>
  <c r="C28" i="12"/>
  <c r="B28" i="12"/>
  <c r="E25" i="12"/>
  <c r="E26" i="12" s="1"/>
  <c r="D25" i="12"/>
  <c r="D26" i="12" s="1"/>
  <c r="C25" i="12"/>
  <c r="C26" i="12" s="1"/>
  <c r="B25" i="12"/>
  <c r="B26" i="12" s="1"/>
  <c r="E21" i="12"/>
  <c r="E22" i="12" s="1"/>
  <c r="D21" i="12"/>
  <c r="D22" i="12" s="1"/>
  <c r="C21" i="12"/>
  <c r="C22" i="12" s="1"/>
  <c r="B21" i="12"/>
  <c r="E20" i="12"/>
  <c r="D20" i="12"/>
  <c r="C20" i="12"/>
  <c r="B20" i="12"/>
  <c r="E11" i="12"/>
  <c r="D11" i="12"/>
  <c r="C11" i="12"/>
  <c r="B11" i="12"/>
  <c r="E6" i="12"/>
  <c r="D6" i="12"/>
  <c r="C6" i="12"/>
  <c r="B6" i="12"/>
  <c r="E5" i="12"/>
  <c r="D5" i="12"/>
  <c r="C5" i="12"/>
  <c r="C7" i="12" s="1"/>
  <c r="C9" i="12" s="1"/>
  <c r="B5" i="12"/>
  <c r="C11" i="11"/>
  <c r="D11" i="11"/>
  <c r="E11" i="11"/>
  <c r="B11" i="11"/>
  <c r="C10" i="10"/>
  <c r="D10" i="10"/>
  <c r="E10" i="10"/>
  <c r="B10" i="10"/>
  <c r="C20" i="11"/>
  <c r="D20" i="11"/>
  <c r="E20" i="11"/>
  <c r="B20" i="11"/>
  <c r="C19" i="10"/>
  <c r="D19" i="10"/>
  <c r="D20" i="10" s="1"/>
  <c r="E19" i="10"/>
  <c r="C18" i="10"/>
  <c r="D18" i="10"/>
  <c r="E18" i="10"/>
  <c r="B18" i="10"/>
  <c r="B19" i="10"/>
  <c r="E33" i="11"/>
  <c r="D33" i="11"/>
  <c r="C33" i="11"/>
  <c r="B33" i="11"/>
  <c r="E31" i="11"/>
  <c r="D31" i="11"/>
  <c r="C31" i="11"/>
  <c r="B31" i="11"/>
  <c r="E28" i="11"/>
  <c r="D28" i="11"/>
  <c r="C28" i="11"/>
  <c r="B28" i="11"/>
  <c r="E27" i="11"/>
  <c r="D27" i="11"/>
  <c r="C27" i="11"/>
  <c r="B27" i="11"/>
  <c r="D25" i="11"/>
  <c r="E24" i="11"/>
  <c r="E25" i="11" s="1"/>
  <c r="D24" i="11"/>
  <c r="C24" i="11"/>
  <c r="C25" i="11" s="1"/>
  <c r="B24" i="11"/>
  <c r="B25" i="11" s="1"/>
  <c r="E19" i="11"/>
  <c r="E21" i="11" s="1"/>
  <c r="D19" i="11"/>
  <c r="C19" i="11"/>
  <c r="B19" i="11"/>
  <c r="E13" i="11"/>
  <c r="D13" i="11"/>
  <c r="C13" i="11"/>
  <c r="B13" i="11"/>
  <c r="B14" i="11"/>
  <c r="E6" i="11"/>
  <c r="D6" i="11"/>
  <c r="C6" i="11"/>
  <c r="B6" i="11"/>
  <c r="E5" i="11"/>
  <c r="E7" i="11" s="1"/>
  <c r="D5" i="11"/>
  <c r="C5" i="11"/>
  <c r="B5" i="11"/>
  <c r="B7" i="11" s="1"/>
  <c r="E32" i="10"/>
  <c r="D32" i="10"/>
  <c r="C32" i="10"/>
  <c r="B32" i="10"/>
  <c r="E30" i="10"/>
  <c r="D30" i="10"/>
  <c r="C30" i="10"/>
  <c r="B30" i="10"/>
  <c r="E27" i="10"/>
  <c r="D27" i="10"/>
  <c r="C27" i="10"/>
  <c r="B27" i="10"/>
  <c r="E26" i="10"/>
  <c r="D26" i="10"/>
  <c r="C26" i="10"/>
  <c r="B26" i="10"/>
  <c r="B28" i="10" s="1"/>
  <c r="E23" i="10"/>
  <c r="E24" i="10" s="1"/>
  <c r="D23" i="10"/>
  <c r="D24" i="10" s="1"/>
  <c r="C23" i="10"/>
  <c r="C24" i="10" s="1"/>
  <c r="B23" i="10"/>
  <c r="B24" i="10" s="1"/>
  <c r="E20" i="10"/>
  <c r="E12" i="10"/>
  <c r="D12" i="10"/>
  <c r="C12" i="10"/>
  <c r="B12" i="10"/>
  <c r="E13" i="10"/>
  <c r="D13" i="10"/>
  <c r="E5" i="10"/>
  <c r="D5" i="10"/>
  <c r="C5" i="10"/>
  <c r="B5" i="10"/>
  <c r="E4" i="10"/>
  <c r="E6" i="10" s="1"/>
  <c r="D4" i="10"/>
  <c r="D6" i="10" s="1"/>
  <c r="C4" i="10"/>
  <c r="B4" i="10"/>
  <c r="B40" i="4"/>
  <c r="C40" i="4"/>
  <c r="E14" i="9"/>
  <c r="D14" i="9"/>
  <c r="C14" i="9"/>
  <c r="B14" i="9"/>
  <c r="C13" i="8"/>
  <c r="D13" i="8"/>
  <c r="E13" i="8"/>
  <c r="B13" i="8"/>
  <c r="B5" i="9"/>
  <c r="C5" i="9"/>
  <c r="D5" i="9"/>
  <c r="E5" i="9"/>
  <c r="E36" i="9"/>
  <c r="D36" i="9"/>
  <c r="C36" i="9"/>
  <c r="B36" i="9"/>
  <c r="E34" i="9"/>
  <c r="D34" i="9"/>
  <c r="C34" i="9"/>
  <c r="B34" i="9"/>
  <c r="E31" i="9"/>
  <c r="D31" i="9"/>
  <c r="C31" i="9"/>
  <c r="B31" i="9"/>
  <c r="E30" i="9"/>
  <c r="D30" i="9"/>
  <c r="C30" i="9"/>
  <c r="C32" i="9" s="1"/>
  <c r="B30" i="9"/>
  <c r="E27" i="9"/>
  <c r="D27" i="9"/>
  <c r="D28" i="9" s="1"/>
  <c r="C27" i="9"/>
  <c r="C28" i="9" s="1"/>
  <c r="B27" i="9"/>
  <c r="B28" i="9" s="1"/>
  <c r="E23" i="9"/>
  <c r="D23" i="9"/>
  <c r="C23" i="9"/>
  <c r="B23" i="9"/>
  <c r="E20" i="9"/>
  <c r="E21" i="9" s="1"/>
  <c r="D20" i="9"/>
  <c r="D21" i="9" s="1"/>
  <c r="C20" i="9"/>
  <c r="C21" i="9" s="1"/>
  <c r="B20" i="9"/>
  <c r="B21" i="9" s="1"/>
  <c r="E19" i="9"/>
  <c r="D19" i="9"/>
  <c r="C19" i="9"/>
  <c r="B19" i="9"/>
  <c r="E13" i="9"/>
  <c r="D13" i="9"/>
  <c r="C13" i="9"/>
  <c r="B13" i="9"/>
  <c r="E11" i="9"/>
  <c r="D11" i="9"/>
  <c r="C11" i="9"/>
  <c r="B11" i="9"/>
  <c r="E6" i="9"/>
  <c r="D6" i="9"/>
  <c r="C6" i="9"/>
  <c r="B6" i="9"/>
  <c r="C26" i="8"/>
  <c r="D26" i="8"/>
  <c r="E26" i="8"/>
  <c r="B26" i="8"/>
  <c r="E35" i="8"/>
  <c r="D35" i="8"/>
  <c r="C35" i="8"/>
  <c r="B35" i="8"/>
  <c r="E33" i="8"/>
  <c r="D33" i="8"/>
  <c r="C33" i="8"/>
  <c r="B33" i="8"/>
  <c r="E30" i="8"/>
  <c r="D30" i="8"/>
  <c r="C30" i="8"/>
  <c r="B30" i="8"/>
  <c r="E29" i="8"/>
  <c r="D29" i="8"/>
  <c r="C29" i="8"/>
  <c r="C31" i="8" s="1"/>
  <c r="B29" i="8"/>
  <c r="E22" i="8"/>
  <c r="D22" i="8"/>
  <c r="C22" i="8"/>
  <c r="B22" i="8"/>
  <c r="E19" i="8"/>
  <c r="E20" i="8" s="1"/>
  <c r="D19" i="8"/>
  <c r="D20" i="8" s="1"/>
  <c r="C19" i="8"/>
  <c r="C20" i="8" s="1"/>
  <c r="B19" i="8"/>
  <c r="B20" i="8" s="1"/>
  <c r="E18" i="8"/>
  <c r="D18" i="8"/>
  <c r="C18" i="8"/>
  <c r="B18" i="8"/>
  <c r="E12" i="8"/>
  <c r="D12" i="8"/>
  <c r="C12" i="8"/>
  <c r="B12" i="8"/>
  <c r="E10" i="8"/>
  <c r="D10" i="8"/>
  <c r="C10" i="8"/>
  <c r="B10" i="8"/>
  <c r="E5" i="8"/>
  <c r="D5" i="8"/>
  <c r="C5" i="8"/>
  <c r="B5" i="8"/>
  <c r="E4" i="8"/>
  <c r="D4" i="8"/>
  <c r="C4" i="8"/>
  <c r="B4" i="8"/>
  <c r="C34" i="4"/>
  <c r="D34" i="4"/>
  <c r="E34" i="4"/>
  <c r="B34" i="4"/>
  <c r="E33" i="4"/>
  <c r="D33" i="4"/>
  <c r="C33" i="4"/>
  <c r="B33" i="4"/>
  <c r="E31" i="4"/>
  <c r="D31" i="4"/>
  <c r="C31" i="4"/>
  <c r="B31" i="4"/>
  <c r="E30" i="4"/>
  <c r="D30" i="4"/>
  <c r="C30" i="4"/>
  <c r="B30" i="4"/>
  <c r="E29" i="4"/>
  <c r="E32" i="4" s="1"/>
  <c r="D29" i="4"/>
  <c r="D32" i="4" s="1"/>
  <c r="C29" i="4"/>
  <c r="C32" i="4" s="1"/>
  <c r="B29" i="4"/>
  <c r="B32" i="4" s="1"/>
  <c r="E24" i="4"/>
  <c r="D24" i="4"/>
  <c r="C24" i="4"/>
  <c r="B24" i="4"/>
  <c r="E21" i="4"/>
  <c r="E22" i="4" s="1"/>
  <c r="E23" i="4" s="1"/>
  <c r="D21" i="4"/>
  <c r="D22" i="4" s="1"/>
  <c r="D23" i="4" s="1"/>
  <c r="C21" i="4"/>
  <c r="C22" i="4" s="1"/>
  <c r="B21" i="4"/>
  <c r="B22" i="4" s="1"/>
  <c r="E20" i="4"/>
  <c r="D20" i="4"/>
  <c r="C20" i="4"/>
  <c r="B20" i="4"/>
  <c r="B25" i="4"/>
  <c r="C25" i="4"/>
  <c r="D25" i="4"/>
  <c r="E25" i="4"/>
  <c r="E33" i="2"/>
  <c r="D33" i="2"/>
  <c r="C33" i="2"/>
  <c r="B33" i="2"/>
  <c r="E32" i="2"/>
  <c r="D32" i="2"/>
  <c r="C32" i="2"/>
  <c r="B32" i="2"/>
  <c r="E29" i="2"/>
  <c r="E30" i="2" s="1"/>
  <c r="E31" i="2" s="1"/>
  <c r="D29" i="2"/>
  <c r="D30" i="2" s="1"/>
  <c r="D31" i="2" s="1"/>
  <c r="C29" i="2"/>
  <c r="C30" i="2" s="1"/>
  <c r="B29" i="2"/>
  <c r="B30" i="2" s="1"/>
  <c r="B31" i="2" s="1"/>
  <c r="E28" i="2"/>
  <c r="D28" i="2"/>
  <c r="C28" i="2"/>
  <c r="B28" i="2"/>
  <c r="E23" i="2"/>
  <c r="D23" i="2"/>
  <c r="C23" i="2"/>
  <c r="B23" i="2"/>
  <c r="E20" i="2"/>
  <c r="E21" i="2" s="1"/>
  <c r="D20" i="2"/>
  <c r="D21" i="2" s="1"/>
  <c r="C20" i="2"/>
  <c r="C21" i="2" s="1"/>
  <c r="B20" i="2"/>
  <c r="B21" i="2" s="1"/>
  <c r="E19" i="2"/>
  <c r="D19" i="2"/>
  <c r="C19" i="2"/>
  <c r="B19" i="2"/>
  <c r="C33" i="1"/>
  <c r="D33" i="1"/>
  <c r="E33" i="1"/>
  <c r="B33" i="1"/>
  <c r="C29" i="1"/>
  <c r="D29" i="1"/>
  <c r="E29" i="1"/>
  <c r="E30" i="1" s="1"/>
  <c r="B29" i="1"/>
  <c r="E32" i="1"/>
  <c r="D32" i="1"/>
  <c r="C32" i="1"/>
  <c r="B32" i="1"/>
  <c r="C30" i="1"/>
  <c r="D30" i="1"/>
  <c r="B30" i="1"/>
  <c r="E28" i="1"/>
  <c r="D28" i="1"/>
  <c r="C28" i="1"/>
  <c r="B28" i="1"/>
  <c r="C20" i="1"/>
  <c r="C21" i="1" s="1"/>
  <c r="D20" i="1"/>
  <c r="D21" i="1" s="1"/>
  <c r="E20" i="1"/>
  <c r="E21" i="1" s="1"/>
  <c r="B20" i="1"/>
  <c r="B21" i="1" s="1"/>
  <c r="C19" i="1"/>
  <c r="D19" i="1"/>
  <c r="E19" i="1"/>
  <c r="B19" i="1"/>
  <c r="B22" i="1" s="1"/>
  <c r="C23" i="1"/>
  <c r="D23" i="1"/>
  <c r="E23" i="1"/>
  <c r="B23" i="1"/>
  <c r="E14" i="4"/>
  <c r="D14" i="4"/>
  <c r="C14" i="4"/>
  <c r="B14" i="4"/>
  <c r="E42" i="4"/>
  <c r="D42" i="4"/>
  <c r="C42" i="4"/>
  <c r="B42" i="4"/>
  <c r="E6" i="4"/>
  <c r="D6" i="4"/>
  <c r="C6" i="4"/>
  <c r="B6" i="4"/>
  <c r="E5" i="4"/>
  <c r="D5" i="4"/>
  <c r="C5" i="4"/>
  <c r="B5" i="4"/>
  <c r="E5" i="2"/>
  <c r="D5" i="2"/>
  <c r="C5" i="2"/>
  <c r="B5" i="2"/>
  <c r="E4" i="2"/>
  <c r="D4" i="2"/>
  <c r="C4" i="2"/>
  <c r="B4" i="2"/>
  <c r="C4" i="1"/>
  <c r="D4" i="1"/>
  <c r="E4" i="1"/>
  <c r="C5" i="1"/>
  <c r="D5" i="1"/>
  <c r="E5" i="1"/>
  <c r="B5" i="1"/>
  <c r="B4" i="1"/>
  <c r="C12" i="1"/>
  <c r="D12" i="1"/>
  <c r="E12" i="1"/>
  <c r="B12" i="1"/>
  <c r="B13" i="4"/>
  <c r="C18" i="7"/>
  <c r="D18" i="7"/>
  <c r="E18" i="7"/>
  <c r="B18" i="7"/>
  <c r="C15" i="7"/>
  <c r="C16" i="7" s="1"/>
  <c r="D15" i="7"/>
  <c r="D16" i="7" s="1"/>
  <c r="E15" i="7"/>
  <c r="E16" i="7" s="1"/>
  <c r="B16" i="7"/>
  <c r="B15" i="7"/>
  <c r="C36" i="2"/>
  <c r="D36" i="2"/>
  <c r="E36" i="2"/>
  <c r="B36" i="2"/>
  <c r="C37" i="4"/>
  <c r="D37" i="4"/>
  <c r="E37" i="4"/>
  <c r="B37" i="4"/>
  <c r="C36" i="1"/>
  <c r="D36" i="1"/>
  <c r="E36" i="1"/>
  <c r="B36" i="1"/>
  <c r="E40" i="4"/>
  <c r="D40" i="4"/>
  <c r="E36" i="4"/>
  <c r="D36" i="4"/>
  <c r="C36" i="4"/>
  <c r="B36" i="4"/>
  <c r="E13" i="4"/>
  <c r="D13" i="4"/>
  <c r="C13" i="4"/>
  <c r="E12" i="4"/>
  <c r="D12" i="4"/>
  <c r="C12" i="4"/>
  <c r="B12" i="4"/>
  <c r="E11" i="4"/>
  <c r="D11" i="4"/>
  <c r="C11" i="4"/>
  <c r="B11" i="4"/>
  <c r="E10" i="4"/>
  <c r="D10" i="4"/>
  <c r="C10" i="4"/>
  <c r="B10" i="4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B13" i="2"/>
  <c r="B9" i="2"/>
  <c r="E13" i="1"/>
  <c r="D13" i="1"/>
  <c r="C13" i="1"/>
  <c r="E11" i="1"/>
  <c r="D11" i="1"/>
  <c r="C11" i="1"/>
  <c r="E10" i="1"/>
  <c r="D10" i="1"/>
  <c r="C10" i="1"/>
  <c r="E9" i="1"/>
  <c r="D9" i="1"/>
  <c r="C9" i="1"/>
  <c r="B13" i="1"/>
  <c r="B9" i="1"/>
  <c r="C10" i="7"/>
  <c r="D10" i="7"/>
  <c r="E10" i="7"/>
  <c r="C11" i="7"/>
  <c r="D11" i="7"/>
  <c r="E11" i="7"/>
  <c r="E12" i="7" s="1"/>
  <c r="E13" i="7" s="1"/>
  <c r="C12" i="7"/>
  <c r="D12" i="7"/>
  <c r="C7" i="7"/>
  <c r="D7" i="7"/>
  <c r="E7" i="7"/>
  <c r="B12" i="7"/>
  <c r="B11" i="7"/>
  <c r="B7" i="7"/>
  <c r="B2" i="7"/>
  <c r="C2" i="7"/>
  <c r="D2" i="7"/>
  <c r="E2" i="7"/>
  <c r="C3" i="7"/>
  <c r="D3" i="7"/>
  <c r="E3" i="7"/>
  <c r="E5" i="7" s="1"/>
  <c r="E6" i="7" s="1"/>
  <c r="C4" i="7"/>
  <c r="D4" i="7"/>
  <c r="E4" i="7"/>
  <c r="B4" i="7"/>
  <c r="B3" i="7"/>
  <c r="E20" i="7"/>
  <c r="D20" i="7"/>
  <c r="C20" i="7"/>
  <c r="B20" i="7"/>
  <c r="E14" i="7"/>
  <c r="D14" i="7"/>
  <c r="C14" i="7"/>
  <c r="B14" i="7"/>
  <c r="B10" i="7"/>
  <c r="E9" i="7"/>
  <c r="D9" i="7"/>
  <c r="C9" i="7"/>
  <c r="B9" i="7"/>
  <c r="E8" i="7"/>
  <c r="D8" i="7"/>
  <c r="C8" i="7"/>
  <c r="B8" i="7"/>
  <c r="E39" i="2"/>
  <c r="D39" i="2"/>
  <c r="C39" i="2"/>
  <c r="B39" i="2"/>
  <c r="E35" i="2"/>
  <c r="D35" i="2"/>
  <c r="C35" i="2"/>
  <c r="B35" i="2"/>
  <c r="B12" i="2"/>
  <c r="B11" i="2"/>
  <c r="B10" i="2"/>
  <c r="C41" i="1"/>
  <c r="D41" i="1"/>
  <c r="E41" i="1"/>
  <c r="B41" i="1"/>
  <c r="C39" i="1"/>
  <c r="D39" i="1"/>
  <c r="E39" i="1"/>
  <c r="B10" i="1"/>
  <c r="B39" i="1"/>
  <c r="C35" i="1"/>
  <c r="D35" i="1"/>
  <c r="E35" i="1"/>
  <c r="B35" i="1"/>
  <c r="B37" i="1" s="1"/>
  <c r="B11" i="1"/>
  <c r="D19" i="13" l="1"/>
  <c r="C13" i="13"/>
  <c r="C15" i="13" s="1"/>
  <c r="D13" i="13"/>
  <c r="D15" i="13" s="1"/>
  <c r="E19" i="13"/>
  <c r="B14" i="14"/>
  <c r="C14" i="14"/>
  <c r="D14" i="14"/>
  <c r="E14" i="14"/>
  <c r="B7" i="14"/>
  <c r="C7" i="14"/>
  <c r="D4" i="14"/>
  <c r="D8" i="14"/>
  <c r="D19" i="14" s="1"/>
  <c r="D21" i="14" s="1"/>
  <c r="D23" i="14" s="1"/>
  <c r="D24" i="14" s="1"/>
  <c r="D26" i="14" s="1"/>
  <c r="E8" i="14"/>
  <c r="E19" i="14" s="1"/>
  <c r="E21" i="14" s="1"/>
  <c r="E23" i="14" s="1"/>
  <c r="E24" i="14" s="1"/>
  <c r="E26" i="14" s="1"/>
  <c r="B4" i="14"/>
  <c r="C4" i="14"/>
  <c r="C8" i="13"/>
  <c r="E8" i="13"/>
  <c r="D8" i="13"/>
  <c r="B15" i="13"/>
  <c r="B5" i="13"/>
  <c r="B4" i="13"/>
  <c r="B9" i="13" s="1"/>
  <c r="C5" i="13"/>
  <c r="C4" i="13"/>
  <c r="D5" i="13"/>
  <c r="D4" i="13"/>
  <c r="E4" i="13"/>
  <c r="B7" i="12"/>
  <c r="B8" i="12" s="1"/>
  <c r="D7" i="12"/>
  <c r="D9" i="12" s="1"/>
  <c r="E7" i="12"/>
  <c r="E9" i="12" s="1"/>
  <c r="B22" i="12"/>
  <c r="C8" i="12"/>
  <c r="C7" i="11"/>
  <c r="C8" i="11" s="1"/>
  <c r="C15" i="11" s="1"/>
  <c r="C14" i="11"/>
  <c r="D7" i="11"/>
  <c r="D8" i="11" s="1"/>
  <c r="D14" i="11"/>
  <c r="B29" i="11"/>
  <c r="E14" i="11"/>
  <c r="C29" i="11"/>
  <c r="D29" i="11"/>
  <c r="E29" i="11"/>
  <c r="D21" i="11"/>
  <c r="B21" i="11"/>
  <c r="E28" i="10"/>
  <c r="B6" i="10"/>
  <c r="B8" i="10" s="1"/>
  <c r="B13" i="10"/>
  <c r="C28" i="10"/>
  <c r="C6" i="10"/>
  <c r="C8" i="10" s="1"/>
  <c r="C13" i="10"/>
  <c r="D28" i="10"/>
  <c r="C20" i="10"/>
  <c r="B20" i="10"/>
  <c r="D7" i="10"/>
  <c r="D14" i="10" s="1"/>
  <c r="D25" i="10" s="1"/>
  <c r="D8" i="10"/>
  <c r="E7" i="10"/>
  <c r="E14" i="10" s="1"/>
  <c r="E25" i="10" s="1"/>
  <c r="E29" i="10" s="1"/>
  <c r="E31" i="10" s="1"/>
  <c r="E33" i="10" s="1"/>
  <c r="E34" i="10" s="1"/>
  <c r="E36" i="10" s="1"/>
  <c r="E8" i="10"/>
  <c r="E8" i="11"/>
  <c r="E15" i="11" s="1"/>
  <c r="E26" i="11" s="1"/>
  <c r="E30" i="11" s="1"/>
  <c r="E32" i="11" s="1"/>
  <c r="E34" i="11" s="1"/>
  <c r="E35" i="11" s="1"/>
  <c r="E37" i="11" s="1"/>
  <c r="E9" i="11"/>
  <c r="B8" i="11"/>
  <c r="B15" i="11" s="1"/>
  <c r="B26" i="11" s="1"/>
  <c r="B9" i="11"/>
  <c r="C21" i="11"/>
  <c r="B7" i="9"/>
  <c r="B9" i="9" s="1"/>
  <c r="D7" i="9"/>
  <c r="D9" i="9" s="1"/>
  <c r="C7" i="9"/>
  <c r="C9" i="9" s="1"/>
  <c r="E32" i="9"/>
  <c r="E7" i="9"/>
  <c r="E9" i="9" s="1"/>
  <c r="B6" i="8"/>
  <c r="B8" i="8" s="1"/>
  <c r="C6" i="8"/>
  <c r="C8" i="8" s="1"/>
  <c r="C22" i="9"/>
  <c r="C24" i="9" s="1"/>
  <c r="E22" i="9"/>
  <c r="E24" i="9" s="1"/>
  <c r="B22" i="9"/>
  <c r="B24" i="9" s="1"/>
  <c r="D32" i="9"/>
  <c r="E28" i="9"/>
  <c r="D22" i="9"/>
  <c r="D24" i="9" s="1"/>
  <c r="B32" i="9"/>
  <c r="E8" i="9"/>
  <c r="B8" i="9"/>
  <c r="D27" i="8"/>
  <c r="D6" i="8"/>
  <c r="D21" i="8"/>
  <c r="D23" i="8" s="1"/>
  <c r="E27" i="8"/>
  <c r="D31" i="8"/>
  <c r="E21" i="8"/>
  <c r="E23" i="8" s="1"/>
  <c r="E6" i="8"/>
  <c r="E31" i="8"/>
  <c r="B31" i="8"/>
  <c r="B21" i="8"/>
  <c r="B23" i="8" s="1"/>
  <c r="C21" i="8"/>
  <c r="C23" i="8" s="1"/>
  <c r="B7" i="8"/>
  <c r="C7" i="8"/>
  <c r="B27" i="8"/>
  <c r="C27" i="8"/>
  <c r="B23" i="4"/>
  <c r="C23" i="4"/>
  <c r="C31" i="2"/>
  <c r="B22" i="2"/>
  <c r="B24" i="2" s="1"/>
  <c r="D22" i="2"/>
  <c r="D24" i="2" s="1"/>
  <c r="C22" i="2"/>
  <c r="C24" i="2" s="1"/>
  <c r="E22" i="2"/>
  <c r="E24" i="2" s="1"/>
  <c r="D6" i="2"/>
  <c r="D8" i="2" s="1"/>
  <c r="C6" i="2"/>
  <c r="C7" i="2" s="1"/>
  <c r="E6" i="2"/>
  <c r="E8" i="2" s="1"/>
  <c r="D31" i="1"/>
  <c r="C31" i="1"/>
  <c r="E31" i="1"/>
  <c r="B31" i="1"/>
  <c r="D22" i="1"/>
  <c r="D24" i="1" s="1"/>
  <c r="C22" i="1"/>
  <c r="C24" i="1" s="1"/>
  <c r="B24" i="1"/>
  <c r="E22" i="1"/>
  <c r="E24" i="1" s="1"/>
  <c r="E37" i="1"/>
  <c r="E6" i="1"/>
  <c r="E8" i="1" s="1"/>
  <c r="B6" i="1"/>
  <c r="B37" i="2"/>
  <c r="E37" i="2"/>
  <c r="C14" i="2"/>
  <c r="E14" i="2"/>
  <c r="B6" i="2"/>
  <c r="B7" i="2" s="1"/>
  <c r="D14" i="2"/>
  <c r="D6" i="1"/>
  <c r="D8" i="1" s="1"/>
  <c r="D14" i="1"/>
  <c r="C37" i="1"/>
  <c r="C6" i="1"/>
  <c r="C8" i="1" s="1"/>
  <c r="C14" i="1"/>
  <c r="D37" i="1"/>
  <c r="C38" i="4"/>
  <c r="D38" i="4"/>
  <c r="B7" i="4"/>
  <c r="B9" i="4" s="1"/>
  <c r="B38" i="4"/>
  <c r="D7" i="4"/>
  <c r="D9" i="4" s="1"/>
  <c r="C7" i="4"/>
  <c r="C8" i="4" s="1"/>
  <c r="E7" i="4"/>
  <c r="E9" i="4" s="1"/>
  <c r="E38" i="4"/>
  <c r="C15" i="4"/>
  <c r="D15" i="4"/>
  <c r="E14" i="1"/>
  <c r="B14" i="1"/>
  <c r="B15" i="4"/>
  <c r="D37" i="2"/>
  <c r="B14" i="2"/>
  <c r="C37" i="2"/>
  <c r="E15" i="4"/>
  <c r="D13" i="7"/>
  <c r="C13" i="7"/>
  <c r="B13" i="7"/>
  <c r="D5" i="7"/>
  <c r="D6" i="7" s="1"/>
  <c r="C5" i="7"/>
  <c r="C6" i="7" s="1"/>
  <c r="C17" i="7" s="1"/>
  <c r="C19" i="7" s="1"/>
  <c r="C21" i="7" s="1"/>
  <c r="C22" i="7" s="1"/>
  <c r="C24" i="7" s="1"/>
  <c r="B5" i="7"/>
  <c r="B6" i="7" s="1"/>
  <c r="D17" i="7"/>
  <c r="D19" i="7" s="1"/>
  <c r="D21" i="7" s="1"/>
  <c r="D22" i="7" s="1"/>
  <c r="D24" i="7" s="1"/>
  <c r="C8" i="14" l="1"/>
  <c r="C19" i="14" s="1"/>
  <c r="C21" i="14" s="1"/>
  <c r="C23" i="14" s="1"/>
  <c r="C24" i="14" s="1"/>
  <c r="C26" i="14" s="1"/>
  <c r="B8" i="14"/>
  <c r="B19" i="14" s="1"/>
  <c r="B21" i="14" s="1"/>
  <c r="B23" i="14" s="1"/>
  <c r="B24" i="14" s="1"/>
  <c r="B26" i="14" s="1"/>
  <c r="E9" i="13"/>
  <c r="E20" i="13" s="1"/>
  <c r="E22" i="13" s="1"/>
  <c r="E24" i="13" s="1"/>
  <c r="B20" i="13"/>
  <c r="B22" i="13" s="1"/>
  <c r="B24" i="13" s="1"/>
  <c r="C9" i="13"/>
  <c r="C20" i="13" s="1"/>
  <c r="C22" i="13" s="1"/>
  <c r="C24" i="13" s="1"/>
  <c r="D9" i="13"/>
  <c r="D20" i="13" s="1"/>
  <c r="D22" i="13" s="1"/>
  <c r="D24" i="13" s="1"/>
  <c r="B16" i="12"/>
  <c r="B27" i="12" s="1"/>
  <c r="B32" i="12" s="1"/>
  <c r="B34" i="12" s="1"/>
  <c r="B36" i="12" s="1"/>
  <c r="B37" i="12" s="1"/>
  <c r="B39" i="12" s="1"/>
  <c r="C16" i="12"/>
  <c r="C27" i="12" s="1"/>
  <c r="C32" i="12" s="1"/>
  <c r="C34" i="12" s="1"/>
  <c r="C36" i="12" s="1"/>
  <c r="C37" i="12" s="1"/>
  <c r="C39" i="12" s="1"/>
  <c r="B9" i="12"/>
  <c r="E8" i="12"/>
  <c r="E16" i="12" s="1"/>
  <c r="E27" i="12" s="1"/>
  <c r="E32" i="12" s="1"/>
  <c r="E34" i="12" s="1"/>
  <c r="E36" i="12" s="1"/>
  <c r="E37" i="12" s="1"/>
  <c r="E39" i="12" s="1"/>
  <c r="D8" i="12"/>
  <c r="D16" i="12" s="1"/>
  <c r="D27" i="12" s="1"/>
  <c r="D32" i="12" s="1"/>
  <c r="D34" i="12" s="1"/>
  <c r="D36" i="12" s="1"/>
  <c r="D37" i="12" s="1"/>
  <c r="D39" i="12" s="1"/>
  <c r="C9" i="11"/>
  <c r="B30" i="11"/>
  <c r="B32" i="11" s="1"/>
  <c r="B34" i="11" s="1"/>
  <c r="B35" i="11" s="1"/>
  <c r="B37" i="11" s="1"/>
  <c r="D15" i="11"/>
  <c r="D26" i="11" s="1"/>
  <c r="D30" i="11" s="1"/>
  <c r="D32" i="11" s="1"/>
  <c r="D34" i="11" s="1"/>
  <c r="D35" i="11" s="1"/>
  <c r="D37" i="11" s="1"/>
  <c r="D9" i="11"/>
  <c r="C26" i="11"/>
  <c r="C30" i="11" s="1"/>
  <c r="C32" i="11" s="1"/>
  <c r="C34" i="11" s="1"/>
  <c r="C35" i="11" s="1"/>
  <c r="C37" i="11" s="1"/>
  <c r="C7" i="10"/>
  <c r="C14" i="10" s="1"/>
  <c r="C25" i="10" s="1"/>
  <c r="C29" i="10" s="1"/>
  <c r="C31" i="10" s="1"/>
  <c r="C33" i="10" s="1"/>
  <c r="C34" i="10" s="1"/>
  <c r="C36" i="10" s="1"/>
  <c r="B7" i="10"/>
  <c r="B14" i="10" s="1"/>
  <c r="B25" i="10" s="1"/>
  <c r="B29" i="10" s="1"/>
  <c r="B31" i="10" s="1"/>
  <c r="B33" i="10" s="1"/>
  <c r="B34" i="10" s="1"/>
  <c r="B36" i="10" s="1"/>
  <c r="D29" i="10"/>
  <c r="D31" i="10" s="1"/>
  <c r="D33" i="10" s="1"/>
  <c r="D34" i="10" s="1"/>
  <c r="D36" i="10" s="1"/>
  <c r="E15" i="9"/>
  <c r="E29" i="9" s="1"/>
  <c r="E33" i="9" s="1"/>
  <c r="E35" i="9" s="1"/>
  <c r="E37" i="9" s="1"/>
  <c r="E38" i="9" s="1"/>
  <c r="E40" i="9" s="1"/>
  <c r="D8" i="9"/>
  <c r="D15" i="9"/>
  <c r="D29" i="9" s="1"/>
  <c r="D33" i="9" s="1"/>
  <c r="D35" i="9" s="1"/>
  <c r="D37" i="9" s="1"/>
  <c r="D38" i="9" s="1"/>
  <c r="D40" i="9" s="1"/>
  <c r="C8" i="9"/>
  <c r="C15" i="9" s="1"/>
  <c r="C29" i="9" s="1"/>
  <c r="C33" i="9" s="1"/>
  <c r="C35" i="9" s="1"/>
  <c r="C37" i="9" s="1"/>
  <c r="C38" i="9" s="1"/>
  <c r="C40" i="9" s="1"/>
  <c r="E7" i="8"/>
  <c r="E14" i="8" s="1"/>
  <c r="E28" i="8" s="1"/>
  <c r="E32" i="8" s="1"/>
  <c r="E34" i="8" s="1"/>
  <c r="E36" i="8" s="1"/>
  <c r="E37" i="8" s="1"/>
  <c r="E39" i="8" s="1"/>
  <c r="E8" i="8"/>
  <c r="D7" i="8"/>
  <c r="D14" i="8" s="1"/>
  <c r="D28" i="8" s="1"/>
  <c r="D32" i="8" s="1"/>
  <c r="D34" i="8" s="1"/>
  <c r="D36" i="8" s="1"/>
  <c r="D37" i="8" s="1"/>
  <c r="D39" i="8" s="1"/>
  <c r="D8" i="8"/>
  <c r="B15" i="9"/>
  <c r="B29" i="9" s="1"/>
  <c r="B33" i="9" s="1"/>
  <c r="B35" i="9" s="1"/>
  <c r="B37" i="9" s="1"/>
  <c r="B38" i="9" s="1"/>
  <c r="B40" i="9" s="1"/>
  <c r="C14" i="8"/>
  <c r="C28" i="8" s="1"/>
  <c r="C32" i="8" s="1"/>
  <c r="C34" i="8" s="1"/>
  <c r="C36" i="8" s="1"/>
  <c r="C37" i="8" s="1"/>
  <c r="C39" i="8" s="1"/>
  <c r="B14" i="8"/>
  <c r="B28" i="8" s="1"/>
  <c r="B32" i="8" s="1"/>
  <c r="B34" i="8" s="1"/>
  <c r="B36" i="8" s="1"/>
  <c r="B37" i="8" s="1"/>
  <c r="B39" i="8" s="1"/>
  <c r="C16" i="4"/>
  <c r="C35" i="4" s="1"/>
  <c r="C39" i="4" s="1"/>
  <c r="C41" i="4" s="1"/>
  <c r="C43" i="4" s="1"/>
  <c r="C44" i="4" s="1"/>
  <c r="C46" i="4" s="1"/>
  <c r="B15" i="2"/>
  <c r="B34" i="2" s="1"/>
  <c r="B38" i="2" s="1"/>
  <c r="B40" i="2" s="1"/>
  <c r="B42" i="2" s="1"/>
  <c r="B43" i="2" s="1"/>
  <c r="B45" i="2" s="1"/>
  <c r="C15" i="2"/>
  <c r="C34" i="2" s="1"/>
  <c r="C38" i="2" s="1"/>
  <c r="C40" i="2" s="1"/>
  <c r="C42" i="2" s="1"/>
  <c r="C43" i="2" s="1"/>
  <c r="C45" i="2" s="1"/>
  <c r="E7" i="2"/>
  <c r="D7" i="2"/>
  <c r="D15" i="2" s="1"/>
  <c r="D34" i="2" s="1"/>
  <c r="D38" i="2" s="1"/>
  <c r="D40" i="2" s="1"/>
  <c r="D42" i="2" s="1"/>
  <c r="D43" i="2" s="1"/>
  <c r="D45" i="2" s="1"/>
  <c r="C8" i="2"/>
  <c r="E7" i="1"/>
  <c r="E15" i="1" s="1"/>
  <c r="E34" i="1" s="1"/>
  <c r="E38" i="1" s="1"/>
  <c r="E40" i="1" s="1"/>
  <c r="E42" i="1" s="1"/>
  <c r="E43" i="1" s="1"/>
  <c r="E45" i="1" s="1"/>
  <c r="D7" i="1"/>
  <c r="D15" i="1" s="1"/>
  <c r="D34" i="1" s="1"/>
  <c r="D38" i="1" s="1"/>
  <c r="D40" i="1" s="1"/>
  <c r="D42" i="1" s="1"/>
  <c r="D43" i="1" s="1"/>
  <c r="D45" i="1" s="1"/>
  <c r="C7" i="1"/>
  <c r="C15" i="1" s="1"/>
  <c r="C34" i="1" s="1"/>
  <c r="C38" i="1" s="1"/>
  <c r="C40" i="1" s="1"/>
  <c r="C42" i="1" s="1"/>
  <c r="C43" i="1" s="1"/>
  <c r="C45" i="1" s="1"/>
  <c r="B8" i="2"/>
  <c r="D8" i="4"/>
  <c r="D16" i="4" s="1"/>
  <c r="D35" i="4" s="1"/>
  <c r="C9" i="4"/>
  <c r="B8" i="4"/>
  <c r="B16" i="4" s="1"/>
  <c r="B35" i="4" s="1"/>
  <c r="E8" i="4"/>
  <c r="B7" i="1"/>
  <c r="B8" i="1"/>
  <c r="B17" i="7"/>
  <c r="B19" i="7" s="1"/>
  <c r="B21" i="7" s="1"/>
  <c r="B22" i="7" s="1"/>
  <c r="B24" i="7" s="1"/>
  <c r="E17" i="7"/>
  <c r="E19" i="7" s="1"/>
  <c r="E21" i="7" s="1"/>
  <c r="E22" i="7" s="1"/>
  <c r="E24" i="7" s="1"/>
  <c r="D25" i="13" l="1"/>
  <c r="D27" i="13" s="1"/>
  <c r="E25" i="13"/>
  <c r="E27" i="13" s="1"/>
  <c r="C25" i="13"/>
  <c r="C27" i="13" s="1"/>
  <c r="B25" i="13"/>
  <c r="B27" i="13" s="1"/>
  <c r="E15" i="2"/>
  <c r="E34" i="2" s="1"/>
  <c r="E38" i="2" s="1"/>
  <c r="E40" i="2" s="1"/>
  <c r="E42" i="2" s="1"/>
  <c r="E43" i="2" s="1"/>
  <c r="E45" i="2" s="1"/>
  <c r="B15" i="1"/>
  <c r="D39" i="4"/>
  <c r="D41" i="4" s="1"/>
  <c r="D43" i="4" s="1"/>
  <c r="D44" i="4" s="1"/>
  <c r="D46" i="4" s="1"/>
  <c r="E16" i="4"/>
  <c r="E35" i="4" s="1"/>
  <c r="E39" i="4" s="1"/>
  <c r="E41" i="4" s="1"/>
  <c r="E43" i="4" s="1"/>
  <c r="E44" i="4" s="1"/>
  <c r="E46" i="4" s="1"/>
  <c r="B39" i="4"/>
  <c r="B41" i="4" s="1"/>
  <c r="B43" i="4" s="1"/>
  <c r="B44" i="4" s="1"/>
  <c r="B46" i="4" s="1"/>
  <c r="B34" i="1" l="1"/>
  <c r="B38" i="1" s="1"/>
  <c r="B40" i="1" s="1"/>
  <c r="B42" i="1" s="1"/>
  <c r="B43" i="1" s="1"/>
  <c r="B45" i="1" s="1"/>
</calcChain>
</file>

<file path=xl/sharedStrings.xml><?xml version="1.0" encoding="utf-8"?>
<sst xmlns="http://schemas.openxmlformats.org/spreadsheetml/2006/main" count="404" uniqueCount="50">
  <si>
    <t>EV/EBITDAaL</t>
  </si>
  <si>
    <t>EBITDAaL 24</t>
  </si>
  <si>
    <t>EV</t>
  </si>
  <si>
    <t>Deuda</t>
  </si>
  <si>
    <t>Equity</t>
  </si>
  <si>
    <t>Número de acciones inicial</t>
  </si>
  <si>
    <t>Número de acciones final</t>
  </si>
  <si>
    <t>Precio por acción (EUR)</t>
  </si>
  <si>
    <r>
      <t>Precio por acción (</t>
    </r>
    <r>
      <rPr>
        <sz val="11"/>
        <color theme="1"/>
        <rFont val="Aptos Narrow"/>
        <family val="2"/>
      </rPr>
      <t>GBP</t>
    </r>
    <r>
      <rPr>
        <sz val="11"/>
        <color theme="1"/>
        <rFont val="Aptos Narrow"/>
        <family val="2"/>
        <scheme val="minor"/>
      </rPr>
      <t>)</t>
    </r>
  </si>
  <si>
    <t>Pago Dividendo</t>
  </si>
  <si>
    <t>EUR/GBP</t>
  </si>
  <si>
    <t>Dividendo (GBP)</t>
  </si>
  <si>
    <t>Reducción EBITDA por creación FibreCo Telefónica</t>
  </si>
  <si>
    <t>Reducción EBITDA por creación FibreCo MásOrange</t>
  </si>
  <si>
    <t>EBITDAaL 25</t>
  </si>
  <si>
    <t>Precio actual</t>
  </si>
  <si>
    <t>Rentabilidad</t>
  </si>
  <si>
    <t>Mejora EBITDA por reducción de costes</t>
  </si>
  <si>
    <t>Deuda neta</t>
  </si>
  <si>
    <r>
      <t>Precio por acción final (</t>
    </r>
    <r>
      <rPr>
        <b/>
        <sz val="11"/>
        <color theme="1"/>
        <rFont val="Aptos Narrow"/>
        <family val="2"/>
      </rPr>
      <t>GBP</t>
    </r>
    <r>
      <rPr>
        <b/>
        <sz val="11"/>
        <color theme="1"/>
        <rFont val="Aptos Narrow"/>
        <family val="2"/>
        <scheme val="minor"/>
      </rPr>
      <t>)</t>
    </r>
  </si>
  <si>
    <r>
      <t>Precio por acción final (</t>
    </r>
    <r>
      <rPr>
        <b/>
        <sz val="11"/>
        <color theme="1"/>
        <rFont val="Aptos Narrow"/>
        <family val="2"/>
      </rPr>
      <t>GBX</t>
    </r>
    <r>
      <rPr>
        <b/>
        <sz val="11"/>
        <color theme="1"/>
        <rFont val="Aptos Narrow"/>
        <family val="2"/>
        <scheme val="minor"/>
      </rPr>
      <t>)</t>
    </r>
  </si>
  <si>
    <r>
      <t>Precio por acción (</t>
    </r>
    <r>
      <rPr>
        <sz val="11"/>
        <color theme="1"/>
        <rFont val="Aptos Narrow"/>
        <family val="2"/>
      </rPr>
      <t>GBP</t>
    </r>
    <r>
      <rPr>
        <sz val="11"/>
        <color theme="1"/>
        <rFont val="Aptos Narrow"/>
        <family val="2"/>
        <scheme val="minor"/>
      </rPr>
      <t>)</t>
    </r>
  </si>
  <si>
    <r>
      <t>Precio por acción final (</t>
    </r>
    <r>
      <rPr>
        <sz val="11"/>
        <color theme="1"/>
        <rFont val="Aptos Narrow"/>
        <family val="2"/>
      </rPr>
      <t>GBP</t>
    </r>
    <r>
      <rPr>
        <sz val="11"/>
        <color theme="1"/>
        <rFont val="Aptos Narrow"/>
        <family val="2"/>
        <scheme val="minor"/>
      </rPr>
      <t>)</t>
    </r>
  </si>
  <si>
    <t>Preferentes canceladas (-)</t>
  </si>
  <si>
    <t>Caja (-)</t>
  </si>
  <si>
    <t>Venta FibreCo Telefónica (-)</t>
  </si>
  <si>
    <t>Venta FibreCo MásOrange (-)</t>
  </si>
  <si>
    <t>Covenant financiero (2,25xEBITDAaL)</t>
  </si>
  <si>
    <t>Reducción EBITDA por creación FibreCo Telefónica (-)</t>
  </si>
  <si>
    <t>Reducción EBITDA por creación FibreCo MásOrange (-)</t>
  </si>
  <si>
    <r>
      <t xml:space="preserve">Equity </t>
    </r>
    <r>
      <rPr>
        <b/>
        <i/>
        <sz val="11"/>
        <color theme="1"/>
        <rFont val="Aptos Narrow"/>
        <family val="2"/>
        <scheme val="minor"/>
      </rPr>
      <t>core business</t>
    </r>
  </si>
  <si>
    <t>EV/EBITDA</t>
  </si>
  <si>
    <t>EBITDA</t>
  </si>
  <si>
    <t>Equity participación Vodafone España</t>
  </si>
  <si>
    <r>
      <t>Negocio principal (</t>
    </r>
    <r>
      <rPr>
        <b/>
        <i/>
        <sz val="11"/>
        <color theme="1"/>
        <rFont val="Aptos Narrow"/>
        <family val="2"/>
        <scheme val="minor"/>
      </rPr>
      <t>core business)</t>
    </r>
  </si>
  <si>
    <r>
      <rPr>
        <b/>
        <i/>
        <sz val="11"/>
        <color theme="1"/>
        <rFont val="Aptos Narrow"/>
        <family val="2"/>
        <scheme val="minor"/>
      </rPr>
      <t>FibreCo</t>
    </r>
    <r>
      <rPr>
        <b/>
        <sz val="11"/>
        <color theme="1"/>
        <rFont val="Aptos Narrow"/>
        <family val="2"/>
        <scheme val="minor"/>
      </rPr>
      <t xml:space="preserve"> Telefónica</t>
    </r>
  </si>
  <si>
    <r>
      <rPr>
        <b/>
        <i/>
        <sz val="11"/>
        <color theme="1"/>
        <rFont val="Aptos Narrow"/>
        <family val="2"/>
        <scheme val="minor"/>
      </rPr>
      <t>FibreCo</t>
    </r>
    <r>
      <rPr>
        <b/>
        <sz val="11"/>
        <color theme="1"/>
        <rFont val="Aptos Narrow"/>
        <family val="2"/>
        <scheme val="minor"/>
      </rPr>
      <t xml:space="preserve"> MásOrange</t>
    </r>
  </si>
  <si>
    <t>Participación Vodafone España</t>
  </si>
  <si>
    <t>Deuda (leverage recap)</t>
  </si>
  <si>
    <t>Apalancamiento Deuda/EBITDA</t>
  </si>
  <si>
    <t>Equity Total (SOTP)</t>
  </si>
  <si>
    <r>
      <t>Precio por acción final (</t>
    </r>
    <r>
      <rPr>
        <sz val="11"/>
        <color theme="1"/>
        <rFont val="Aptos Narrow"/>
        <family val="2"/>
      </rPr>
      <t>GBP</t>
    </r>
    <r>
      <rPr>
        <sz val="11"/>
        <color theme="1"/>
        <rFont val="Aptos Narrow"/>
        <family val="2"/>
        <scheme val="minor"/>
      </rPr>
      <t>)</t>
    </r>
  </si>
  <si>
    <t>Covenant financiero (3,1xEBITDAaL)</t>
  </si>
  <si>
    <t>Recompra de acciones</t>
  </si>
  <si>
    <t>Recompra de acciones (-)</t>
  </si>
  <si>
    <t>Número de acciones</t>
  </si>
  <si>
    <r>
      <t>Precio por acción (</t>
    </r>
    <r>
      <rPr>
        <b/>
        <sz val="11"/>
        <color theme="1"/>
        <rFont val="Aptos Narrow"/>
        <family val="2"/>
      </rPr>
      <t>GBX</t>
    </r>
    <r>
      <rPr>
        <b/>
        <sz val="11"/>
        <color theme="1"/>
        <rFont val="Aptos Narrow"/>
        <family val="2"/>
        <scheme val="minor"/>
      </rPr>
      <t>)</t>
    </r>
  </si>
  <si>
    <t>EV/OpCF</t>
  </si>
  <si>
    <t>EBITDAaL 26</t>
  </si>
  <si>
    <t>OpCF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</si>
</sst>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" fontId="0" fillId="0" borderId="0" xfId="0" applyNumberFormat="1"/>
    <xf numFmtId="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9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D45DC-A80B-4615-953A-F453DF4F4E26}">
  <dimension ref="A1:E45"/>
  <sheetViews>
    <sheetView topLeftCell="A13" workbookViewId="0">
      <selection activeCell="B31" sqref="B31"/>
    </sheetView>
  </sheetViews>
  <sheetFormatPr baseColWidth="10" defaultRowHeight="15" x14ac:dyDescent="0.25"/>
  <cols>
    <col min="1" max="1" width="49.7109375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28</v>
      </c>
      <c r="B4">
        <f>47</f>
        <v>47</v>
      </c>
      <c r="C4">
        <f>47</f>
        <v>47</v>
      </c>
      <c r="D4">
        <f>47</f>
        <v>47</v>
      </c>
      <c r="E4">
        <f>47</f>
        <v>47</v>
      </c>
    </row>
    <row r="5" spans="1:5" x14ac:dyDescent="0.25">
      <c r="A5" t="s">
        <v>29</v>
      </c>
      <c r="B5">
        <f>140</f>
        <v>140</v>
      </c>
      <c r="C5">
        <f>140</f>
        <v>140</v>
      </c>
      <c r="D5">
        <f>140</f>
        <v>140</v>
      </c>
      <c r="E5">
        <f>140</f>
        <v>140</v>
      </c>
    </row>
    <row r="6" spans="1:5" x14ac:dyDescent="0.25">
      <c r="A6" s="4" t="s">
        <v>14</v>
      </c>
      <c r="B6">
        <f>B3-B4-B5</f>
        <v>1049</v>
      </c>
      <c r="C6">
        <f t="shared" ref="C6:E6" si="0">C3-C4-C5</f>
        <v>1049</v>
      </c>
      <c r="D6">
        <f t="shared" si="0"/>
        <v>1049</v>
      </c>
      <c r="E6">
        <f t="shared" si="0"/>
        <v>1049</v>
      </c>
    </row>
    <row r="7" spans="1:5" x14ac:dyDescent="0.25">
      <c r="A7" s="4" t="s">
        <v>2</v>
      </c>
      <c r="B7">
        <f>B6*B2</f>
        <v>4196</v>
      </c>
      <c r="C7">
        <f t="shared" ref="C7:E7" si="1">C6*C2</f>
        <v>5245</v>
      </c>
      <c r="D7">
        <f t="shared" si="1"/>
        <v>6294</v>
      </c>
      <c r="E7">
        <f t="shared" si="1"/>
        <v>7343</v>
      </c>
    </row>
    <row r="8" spans="1:5" x14ac:dyDescent="0.25">
      <c r="A8" s="4" t="s">
        <v>27</v>
      </c>
      <c r="B8" s="2">
        <f>2.25*B6</f>
        <v>2360.25</v>
      </c>
      <c r="C8" s="2">
        <f t="shared" ref="C8:E8" si="2">2.25*C6</f>
        <v>2360.25</v>
      </c>
      <c r="D8" s="2">
        <f t="shared" si="2"/>
        <v>2360.25</v>
      </c>
      <c r="E8" s="2">
        <f t="shared" si="2"/>
        <v>2360.25</v>
      </c>
    </row>
    <row r="9" spans="1:5" x14ac:dyDescent="0.25">
      <c r="A9" t="s">
        <v>3</v>
      </c>
      <c r="B9">
        <f>3800</f>
        <v>3800</v>
      </c>
      <c r="C9">
        <f>3800</f>
        <v>3800</v>
      </c>
      <c r="D9">
        <f>3800</f>
        <v>3800</v>
      </c>
      <c r="E9">
        <f>3800</f>
        <v>3800</v>
      </c>
    </row>
    <row r="10" spans="1:5" x14ac:dyDescent="0.25">
      <c r="A10" t="s">
        <v>24</v>
      </c>
      <c r="B10">
        <f>260</f>
        <v>260</v>
      </c>
      <c r="C10">
        <f>260</f>
        <v>260</v>
      </c>
      <c r="D10">
        <f>260</f>
        <v>260</v>
      </c>
      <c r="E10">
        <f>260</f>
        <v>260</v>
      </c>
    </row>
    <row r="11" spans="1:5" x14ac:dyDescent="0.25">
      <c r="A11" t="s">
        <v>25</v>
      </c>
      <c r="B11">
        <f>538</f>
        <v>538</v>
      </c>
      <c r="C11">
        <f>538</f>
        <v>538</v>
      </c>
      <c r="D11">
        <f>538</f>
        <v>538</v>
      </c>
      <c r="E11">
        <f>538</f>
        <v>538</v>
      </c>
    </row>
    <row r="12" spans="1:5" x14ac:dyDescent="0.25">
      <c r="A12" t="s">
        <v>26</v>
      </c>
      <c r="B12">
        <f>1776</f>
        <v>1776</v>
      </c>
      <c r="C12">
        <f>1776</f>
        <v>1776</v>
      </c>
      <c r="D12">
        <f>1776</f>
        <v>1776</v>
      </c>
      <c r="E12">
        <f>1776</f>
        <v>1776</v>
      </c>
    </row>
    <row r="13" spans="1:5" x14ac:dyDescent="0.25">
      <c r="A13" t="s">
        <v>9</v>
      </c>
      <c r="B13">
        <f>967</f>
        <v>967</v>
      </c>
      <c r="C13">
        <f>967</f>
        <v>967</v>
      </c>
      <c r="D13">
        <f>967</f>
        <v>967</v>
      </c>
      <c r="E13">
        <f>967</f>
        <v>967</v>
      </c>
    </row>
    <row r="14" spans="1:5" x14ac:dyDescent="0.25">
      <c r="A14" s="4" t="s">
        <v>18</v>
      </c>
      <c r="B14">
        <f>B9-B10-B11-B12+B13</f>
        <v>2193</v>
      </c>
      <c r="C14">
        <f t="shared" ref="C14:E14" si="3">C9-C10-C11-C12+C13</f>
        <v>2193</v>
      </c>
      <c r="D14">
        <f t="shared" si="3"/>
        <v>2193</v>
      </c>
      <c r="E14">
        <f t="shared" si="3"/>
        <v>2193</v>
      </c>
    </row>
    <row r="15" spans="1:5" x14ac:dyDescent="0.25">
      <c r="A15" s="4" t="s">
        <v>30</v>
      </c>
      <c r="B15">
        <f>B7-B14</f>
        <v>2003</v>
      </c>
      <c r="C15">
        <f t="shared" ref="C15:E15" si="4">C7-C14</f>
        <v>3052</v>
      </c>
      <c r="D15">
        <f t="shared" si="4"/>
        <v>4101</v>
      </c>
      <c r="E15">
        <f t="shared" si="4"/>
        <v>5150</v>
      </c>
    </row>
    <row r="16" spans="1:5" s="5" customFormat="1" x14ac:dyDescent="0.25">
      <c r="A16" s="11" t="s">
        <v>35</v>
      </c>
      <c r="B16" s="11"/>
      <c r="C16" s="11"/>
      <c r="D16" s="11"/>
      <c r="E16" s="11"/>
    </row>
    <row r="17" spans="1:5" s="5" customFormat="1" x14ac:dyDescent="0.25">
      <c r="A17" s="6" t="s">
        <v>31</v>
      </c>
      <c r="B17" s="7">
        <v>15</v>
      </c>
      <c r="C17" s="7">
        <v>15</v>
      </c>
      <c r="D17" s="7">
        <v>15</v>
      </c>
      <c r="E17" s="7">
        <v>15</v>
      </c>
    </row>
    <row r="18" spans="1:5" s="5" customFormat="1" x14ac:dyDescent="0.25">
      <c r="A18" s="6" t="s">
        <v>32</v>
      </c>
      <c r="B18" s="7">
        <v>125</v>
      </c>
      <c r="C18" s="7">
        <v>125</v>
      </c>
      <c r="D18" s="7">
        <v>125</v>
      </c>
      <c r="E18" s="7">
        <v>125</v>
      </c>
    </row>
    <row r="19" spans="1:5" s="5" customFormat="1" x14ac:dyDescent="0.25">
      <c r="A19" s="6" t="s">
        <v>2</v>
      </c>
      <c r="B19" s="7">
        <f>B17*B18</f>
        <v>1875</v>
      </c>
      <c r="C19" s="7">
        <f t="shared" ref="C19:E19" si="5">C17*C18</f>
        <v>1875</v>
      </c>
      <c r="D19" s="7">
        <f t="shared" si="5"/>
        <v>1875</v>
      </c>
      <c r="E19" s="7">
        <f t="shared" si="5"/>
        <v>1875</v>
      </c>
    </row>
    <row r="20" spans="1:5" s="5" customFormat="1" x14ac:dyDescent="0.25">
      <c r="A20" s="6" t="s">
        <v>39</v>
      </c>
      <c r="B20" s="7">
        <f>2.5</f>
        <v>2.5</v>
      </c>
      <c r="C20" s="7">
        <f t="shared" ref="C20:E20" si="6">2.5</f>
        <v>2.5</v>
      </c>
      <c r="D20" s="7">
        <f t="shared" si="6"/>
        <v>2.5</v>
      </c>
      <c r="E20" s="7">
        <f t="shared" si="6"/>
        <v>2.5</v>
      </c>
    </row>
    <row r="21" spans="1:5" s="5" customFormat="1" x14ac:dyDescent="0.25">
      <c r="A21" s="6" t="s">
        <v>38</v>
      </c>
      <c r="B21" s="9">
        <f>B18*B20</f>
        <v>312.5</v>
      </c>
      <c r="C21" s="9">
        <f t="shared" ref="C21:E21" si="7">C18*C20</f>
        <v>312.5</v>
      </c>
      <c r="D21" s="9">
        <f t="shared" si="7"/>
        <v>312.5</v>
      </c>
      <c r="E21" s="9">
        <f t="shared" si="7"/>
        <v>312.5</v>
      </c>
    </row>
    <row r="22" spans="1:5" s="5" customFormat="1" x14ac:dyDescent="0.25">
      <c r="A22" s="6" t="s">
        <v>4</v>
      </c>
      <c r="B22" s="9">
        <f>B19-B21</f>
        <v>1562.5</v>
      </c>
      <c r="C22" s="9">
        <f t="shared" ref="C22:E22" si="8">C19-C21</f>
        <v>1562.5</v>
      </c>
      <c r="D22" s="9">
        <f t="shared" si="8"/>
        <v>1562.5</v>
      </c>
      <c r="E22" s="9">
        <f t="shared" si="8"/>
        <v>1562.5</v>
      </c>
    </row>
    <row r="23" spans="1:5" s="5" customFormat="1" x14ac:dyDescent="0.25">
      <c r="A23" s="6" t="s">
        <v>37</v>
      </c>
      <c r="B23" s="8">
        <f>10%</f>
        <v>0.1</v>
      </c>
      <c r="C23" s="8">
        <f>10%</f>
        <v>0.1</v>
      </c>
      <c r="D23" s="8">
        <f>10%</f>
        <v>0.1</v>
      </c>
      <c r="E23" s="8">
        <f>10%</f>
        <v>0.1</v>
      </c>
    </row>
    <row r="24" spans="1:5" x14ac:dyDescent="0.25">
      <c r="A24" s="4" t="s">
        <v>33</v>
      </c>
      <c r="B24" s="2">
        <f>B23*B22</f>
        <v>156.25</v>
      </c>
      <c r="C24" s="2">
        <f t="shared" ref="C24:E24" si="9">C23*C22</f>
        <v>156.25</v>
      </c>
      <c r="D24" s="2">
        <f t="shared" si="9"/>
        <v>156.25</v>
      </c>
      <c r="E24" s="2">
        <f t="shared" si="9"/>
        <v>156.25</v>
      </c>
    </row>
    <row r="25" spans="1:5" s="5" customFormat="1" x14ac:dyDescent="0.25">
      <c r="A25" s="11" t="s">
        <v>36</v>
      </c>
      <c r="B25" s="11"/>
      <c r="C25" s="11"/>
      <c r="D25" s="11"/>
      <c r="E25" s="11"/>
    </row>
    <row r="26" spans="1:5" s="5" customFormat="1" x14ac:dyDescent="0.25">
      <c r="A26" s="6" t="s">
        <v>31</v>
      </c>
      <c r="B26" s="7">
        <v>15</v>
      </c>
      <c r="C26" s="7">
        <v>15</v>
      </c>
      <c r="D26" s="7">
        <v>15</v>
      </c>
      <c r="E26" s="7">
        <v>15</v>
      </c>
    </row>
    <row r="27" spans="1:5" s="5" customFormat="1" x14ac:dyDescent="0.25">
      <c r="A27" s="6" t="s">
        <v>32</v>
      </c>
      <c r="B27" s="7">
        <v>480</v>
      </c>
      <c r="C27" s="7">
        <v>480</v>
      </c>
      <c r="D27" s="7">
        <v>480</v>
      </c>
      <c r="E27" s="7">
        <v>480</v>
      </c>
    </row>
    <row r="28" spans="1:5" s="5" customFormat="1" x14ac:dyDescent="0.25">
      <c r="A28" s="6" t="s">
        <v>2</v>
      </c>
      <c r="B28" s="7">
        <f>B26*B27</f>
        <v>7200</v>
      </c>
      <c r="C28" s="7">
        <f t="shared" ref="C28:E28" si="10">C26*C27</f>
        <v>7200</v>
      </c>
      <c r="D28" s="7">
        <f t="shared" si="10"/>
        <v>7200</v>
      </c>
      <c r="E28" s="7">
        <f t="shared" si="10"/>
        <v>7200</v>
      </c>
    </row>
    <row r="29" spans="1:5" s="5" customFormat="1" x14ac:dyDescent="0.25">
      <c r="A29" s="6" t="s">
        <v>39</v>
      </c>
      <c r="B29" s="7">
        <f>7</f>
        <v>7</v>
      </c>
      <c r="C29" s="7">
        <f>7</f>
        <v>7</v>
      </c>
      <c r="D29" s="7">
        <f>7</f>
        <v>7</v>
      </c>
      <c r="E29" s="7">
        <f>7</f>
        <v>7</v>
      </c>
    </row>
    <row r="30" spans="1:5" s="5" customFormat="1" x14ac:dyDescent="0.25">
      <c r="A30" s="6" t="s">
        <v>38</v>
      </c>
      <c r="B30" s="9">
        <f>B27*B29</f>
        <v>3360</v>
      </c>
      <c r="C30" s="9">
        <f t="shared" ref="C30:E30" si="11">C27*C29</f>
        <v>3360</v>
      </c>
      <c r="D30" s="9">
        <f t="shared" si="11"/>
        <v>3360</v>
      </c>
      <c r="E30" s="9">
        <f t="shared" si="11"/>
        <v>3360</v>
      </c>
    </row>
    <row r="31" spans="1:5" s="5" customFormat="1" x14ac:dyDescent="0.25">
      <c r="A31" s="6" t="s">
        <v>4</v>
      </c>
      <c r="B31" s="9">
        <f>B28-B30</f>
        <v>3840</v>
      </c>
      <c r="C31" s="9">
        <f t="shared" ref="C31:E31" si="12">C28-C30</f>
        <v>3840</v>
      </c>
      <c r="D31" s="9">
        <f t="shared" si="12"/>
        <v>3840</v>
      </c>
      <c r="E31" s="9">
        <f t="shared" si="12"/>
        <v>3840</v>
      </c>
    </row>
    <row r="32" spans="1:5" s="5" customFormat="1" x14ac:dyDescent="0.25">
      <c r="A32" s="6" t="s">
        <v>37</v>
      </c>
      <c r="B32" s="8">
        <f>10%</f>
        <v>0.1</v>
      </c>
      <c r="C32" s="8">
        <f>10%</f>
        <v>0.1</v>
      </c>
      <c r="D32" s="8">
        <f>10%</f>
        <v>0.1</v>
      </c>
      <c r="E32" s="8">
        <f>10%</f>
        <v>0.1</v>
      </c>
    </row>
    <row r="33" spans="1:5" x14ac:dyDescent="0.25">
      <c r="A33" s="4" t="s">
        <v>33</v>
      </c>
      <c r="B33">
        <f>B32*B31</f>
        <v>384</v>
      </c>
      <c r="C33">
        <f t="shared" ref="C33:E33" si="13">C32*C31</f>
        <v>384</v>
      </c>
      <c r="D33">
        <f t="shared" si="13"/>
        <v>384</v>
      </c>
      <c r="E33">
        <f t="shared" si="13"/>
        <v>384</v>
      </c>
    </row>
    <row r="34" spans="1:5" x14ac:dyDescent="0.25">
      <c r="A34" s="4" t="s">
        <v>40</v>
      </c>
      <c r="B34" s="2">
        <f>B15+B24+B33</f>
        <v>2543.25</v>
      </c>
      <c r="C34" s="2">
        <f>C15+C24+C33</f>
        <v>3592.25</v>
      </c>
      <c r="D34" s="2">
        <f>D15+D24+D33</f>
        <v>4641.25</v>
      </c>
      <c r="E34" s="2">
        <f>E15+E24+E33</f>
        <v>5690.25</v>
      </c>
    </row>
    <row r="35" spans="1:5" x14ac:dyDescent="0.25">
      <c r="A35" t="s">
        <v>5</v>
      </c>
      <c r="B35" s="2">
        <f>759209905/1000000</f>
        <v>759.20990500000005</v>
      </c>
      <c r="C35" s="2">
        <f t="shared" ref="C35:E35" si="14">759209905/1000000</f>
        <v>759.20990500000005</v>
      </c>
      <c r="D35" s="2">
        <f t="shared" si="14"/>
        <v>759.20990500000005</v>
      </c>
      <c r="E35" s="2">
        <f t="shared" si="14"/>
        <v>759.20990500000005</v>
      </c>
    </row>
    <row r="36" spans="1:5" x14ac:dyDescent="0.25">
      <c r="A36" t="s">
        <v>23</v>
      </c>
      <c r="B36" s="2">
        <f>523240603/1000000</f>
        <v>523.24060299999996</v>
      </c>
      <c r="C36" s="2">
        <f t="shared" ref="C36:E36" si="15">523240603/1000000</f>
        <v>523.24060299999996</v>
      </c>
      <c r="D36" s="2">
        <f t="shared" si="15"/>
        <v>523.24060299999996</v>
      </c>
      <c r="E36" s="2">
        <f t="shared" si="15"/>
        <v>523.24060299999996</v>
      </c>
    </row>
    <row r="37" spans="1:5" x14ac:dyDescent="0.25">
      <c r="A37" s="4" t="s">
        <v>6</v>
      </c>
      <c r="B37" s="2">
        <f>B35-B36</f>
        <v>235.96930200000008</v>
      </c>
      <c r="C37" s="2">
        <f t="shared" ref="C37:E37" si="16">C35-C36</f>
        <v>235.96930200000008</v>
      </c>
      <c r="D37" s="2">
        <f t="shared" si="16"/>
        <v>235.96930200000008</v>
      </c>
      <c r="E37" s="2">
        <f t="shared" si="16"/>
        <v>235.96930200000008</v>
      </c>
    </row>
    <row r="38" spans="1:5" x14ac:dyDescent="0.25">
      <c r="A38" t="s">
        <v>7</v>
      </c>
      <c r="B38" s="1">
        <f>B34/B37</f>
        <v>10.777884997939262</v>
      </c>
      <c r="C38" s="1">
        <f t="shared" ref="C38:E38" si="17">C34/C37</f>
        <v>15.223378505395582</v>
      </c>
      <c r="D38" s="1">
        <f t="shared" si="17"/>
        <v>19.668872012851903</v>
      </c>
      <c r="E38" s="1">
        <f t="shared" si="17"/>
        <v>24.114365520308223</v>
      </c>
    </row>
    <row r="39" spans="1:5" x14ac:dyDescent="0.25">
      <c r="A39" s="4" t="s">
        <v>10</v>
      </c>
      <c r="B39">
        <f>1.18</f>
        <v>1.18</v>
      </c>
      <c r="C39">
        <f t="shared" ref="C39:E39" si="18">1.18</f>
        <v>1.18</v>
      </c>
      <c r="D39">
        <f t="shared" si="18"/>
        <v>1.18</v>
      </c>
      <c r="E39">
        <f t="shared" si="18"/>
        <v>1.18</v>
      </c>
    </row>
    <row r="40" spans="1:5" x14ac:dyDescent="0.25">
      <c r="A40" t="s">
        <v>8</v>
      </c>
      <c r="B40" s="1">
        <f>B38/B39</f>
        <v>9.1338008457112387</v>
      </c>
      <c r="C40" s="1">
        <f t="shared" ref="C40:E40" si="19">C38/C39</f>
        <v>12.90116822491151</v>
      </c>
      <c r="D40" s="1">
        <f t="shared" si="19"/>
        <v>16.668535604111781</v>
      </c>
      <c r="E40" s="1">
        <f t="shared" si="19"/>
        <v>20.435902983312054</v>
      </c>
    </row>
    <row r="41" spans="1:5" x14ac:dyDescent="0.25">
      <c r="A41" t="s">
        <v>11</v>
      </c>
      <c r="B41">
        <v>0</v>
      </c>
      <c r="C41">
        <v>0</v>
      </c>
      <c r="D41">
        <v>0</v>
      </c>
      <c r="E41">
        <v>0</v>
      </c>
    </row>
    <row r="42" spans="1:5" x14ac:dyDescent="0.25">
      <c r="A42" t="s">
        <v>41</v>
      </c>
      <c r="B42" s="1">
        <f>B40+B41</f>
        <v>9.1338008457112387</v>
      </c>
      <c r="C42" s="1">
        <f t="shared" ref="C42:E42" si="20">C40+C41</f>
        <v>12.90116822491151</v>
      </c>
      <c r="D42" s="1">
        <f t="shared" si="20"/>
        <v>16.668535604111781</v>
      </c>
      <c r="E42" s="1">
        <f t="shared" si="20"/>
        <v>20.435902983312054</v>
      </c>
    </row>
    <row r="43" spans="1:5" x14ac:dyDescent="0.25">
      <c r="A43" s="4" t="s">
        <v>20</v>
      </c>
      <c r="B43" s="2">
        <f>B42*100</f>
        <v>913.38008457112392</v>
      </c>
      <c r="C43" s="2">
        <f t="shared" ref="C43:E43" si="21">C42*100</f>
        <v>1290.116822491151</v>
      </c>
      <c r="D43" s="2">
        <f t="shared" si="21"/>
        <v>1666.853560411178</v>
      </c>
      <c r="E43" s="2">
        <f t="shared" si="21"/>
        <v>2043.5902983312055</v>
      </c>
    </row>
    <row r="44" spans="1:5" x14ac:dyDescent="0.25">
      <c r="A44" s="4" t="s">
        <v>15</v>
      </c>
      <c r="B44">
        <v>595</v>
      </c>
      <c r="C44">
        <v>595</v>
      </c>
      <c r="D44">
        <v>595</v>
      </c>
      <c r="E44">
        <v>595</v>
      </c>
    </row>
    <row r="45" spans="1:5" x14ac:dyDescent="0.25">
      <c r="A45" s="4" t="s">
        <v>16</v>
      </c>
      <c r="B45" s="3">
        <f>B43/B44-1</f>
        <v>0.53509257911113273</v>
      </c>
      <c r="C45" s="3">
        <f t="shared" ref="C45:E45" si="22">C43/C44-1</f>
        <v>1.1682635672120183</v>
      </c>
      <c r="D45" s="3">
        <f t="shared" si="22"/>
        <v>1.8014345553129041</v>
      </c>
      <c r="E45" s="3">
        <f t="shared" si="22"/>
        <v>2.4346055434137908</v>
      </c>
    </row>
  </sheetData>
  <mergeCells count="3">
    <mergeCell ref="A1:E1"/>
    <mergeCell ref="A16:E16"/>
    <mergeCell ref="A25:E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7936-1270-4D10-AE0F-8072EC119D20}">
  <dimension ref="A1:E45"/>
  <sheetViews>
    <sheetView topLeftCell="A13" workbookViewId="0">
      <selection activeCell="A34" sqref="A34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28</v>
      </c>
      <c r="B4">
        <f>47</f>
        <v>47</v>
      </c>
      <c r="C4">
        <f>47</f>
        <v>47</v>
      </c>
      <c r="D4">
        <f>47</f>
        <v>47</v>
      </c>
      <c r="E4">
        <f>47</f>
        <v>47</v>
      </c>
    </row>
    <row r="5" spans="1:5" x14ac:dyDescent="0.25">
      <c r="A5" t="s">
        <v>29</v>
      </c>
      <c r="B5">
        <f>140</f>
        <v>140</v>
      </c>
      <c r="C5">
        <f>140</f>
        <v>140</v>
      </c>
      <c r="D5">
        <f>140</f>
        <v>140</v>
      </c>
      <c r="E5">
        <f>140</f>
        <v>140</v>
      </c>
    </row>
    <row r="6" spans="1:5" x14ac:dyDescent="0.25">
      <c r="A6" s="4" t="s">
        <v>14</v>
      </c>
      <c r="B6">
        <f>B3-B4-B5</f>
        <v>1049</v>
      </c>
      <c r="C6">
        <f t="shared" ref="C6:E6" si="0">C3-C4-C5</f>
        <v>1049</v>
      </c>
      <c r="D6">
        <f t="shared" si="0"/>
        <v>1049</v>
      </c>
      <c r="E6">
        <f t="shared" si="0"/>
        <v>1049</v>
      </c>
    </row>
    <row r="7" spans="1:5" x14ac:dyDescent="0.25">
      <c r="A7" s="4" t="s">
        <v>2</v>
      </c>
      <c r="B7">
        <f>B6*B2</f>
        <v>4196</v>
      </c>
      <c r="C7">
        <f t="shared" ref="C7:E7" si="1">C6*C2</f>
        <v>5245</v>
      </c>
      <c r="D7">
        <f t="shared" si="1"/>
        <v>6294</v>
      </c>
      <c r="E7">
        <f t="shared" si="1"/>
        <v>7343</v>
      </c>
    </row>
    <row r="8" spans="1:5" x14ac:dyDescent="0.25">
      <c r="A8" s="4" t="s">
        <v>27</v>
      </c>
      <c r="B8" s="2">
        <f>2.25*B6</f>
        <v>2360.25</v>
      </c>
      <c r="C8" s="2">
        <f t="shared" ref="C8:E8" si="2">2.25*C6</f>
        <v>2360.25</v>
      </c>
      <c r="D8" s="2">
        <f t="shared" si="2"/>
        <v>2360.25</v>
      </c>
      <c r="E8" s="2">
        <f t="shared" si="2"/>
        <v>2360.25</v>
      </c>
    </row>
    <row r="9" spans="1:5" x14ac:dyDescent="0.25">
      <c r="A9" t="s">
        <v>3</v>
      </c>
      <c r="B9">
        <f>3800</f>
        <v>3800</v>
      </c>
      <c r="C9">
        <f>3800</f>
        <v>3800</v>
      </c>
      <c r="D9">
        <f>3800</f>
        <v>3800</v>
      </c>
      <c r="E9">
        <f>3800</f>
        <v>3800</v>
      </c>
    </row>
    <row r="10" spans="1:5" x14ac:dyDescent="0.25">
      <c r="A10" t="s">
        <v>24</v>
      </c>
      <c r="B10">
        <f>260</f>
        <v>260</v>
      </c>
      <c r="C10">
        <f>260</f>
        <v>260</v>
      </c>
      <c r="D10">
        <f>260</f>
        <v>260</v>
      </c>
      <c r="E10">
        <f>260</f>
        <v>260</v>
      </c>
    </row>
    <row r="11" spans="1:5" x14ac:dyDescent="0.25">
      <c r="A11" t="s">
        <v>25</v>
      </c>
      <c r="B11">
        <f>538</f>
        <v>538</v>
      </c>
      <c r="C11">
        <f>538</f>
        <v>538</v>
      </c>
      <c r="D11">
        <f>538</f>
        <v>538</v>
      </c>
      <c r="E11">
        <f>538</f>
        <v>538</v>
      </c>
    </row>
    <row r="12" spans="1:5" x14ac:dyDescent="0.25">
      <c r="A12" t="s">
        <v>26</v>
      </c>
      <c r="B12">
        <f>2160</f>
        <v>2160</v>
      </c>
      <c r="C12">
        <f>2160</f>
        <v>2160</v>
      </c>
      <c r="D12">
        <f>2160</f>
        <v>2160</v>
      </c>
      <c r="E12">
        <f>2160</f>
        <v>2160</v>
      </c>
    </row>
    <row r="13" spans="1:5" x14ac:dyDescent="0.25">
      <c r="A13" t="s">
        <v>9</v>
      </c>
      <c r="B13">
        <f>1405</f>
        <v>1405</v>
      </c>
      <c r="C13">
        <f>1405</f>
        <v>1405</v>
      </c>
      <c r="D13">
        <f>1405</f>
        <v>1405</v>
      </c>
      <c r="E13">
        <f>1405</f>
        <v>1405</v>
      </c>
    </row>
    <row r="14" spans="1:5" s="4" customFormat="1" x14ac:dyDescent="0.25">
      <c r="A14" s="4" t="s">
        <v>18</v>
      </c>
      <c r="B14">
        <f>B9-B10-B11-B12+B13</f>
        <v>2247</v>
      </c>
      <c r="C14">
        <f t="shared" ref="C14:E14" si="3">C9-C10-C11-C12+C13</f>
        <v>2247</v>
      </c>
      <c r="D14">
        <f t="shared" si="3"/>
        <v>2247</v>
      </c>
      <c r="E14">
        <f t="shared" si="3"/>
        <v>2247</v>
      </c>
    </row>
    <row r="15" spans="1:5" x14ac:dyDescent="0.25">
      <c r="A15" s="4" t="s">
        <v>30</v>
      </c>
      <c r="B15">
        <f>B7-B14</f>
        <v>1949</v>
      </c>
      <c r="C15">
        <f t="shared" ref="C15:E15" si="4">C7-C14</f>
        <v>2998</v>
      </c>
      <c r="D15">
        <f t="shared" si="4"/>
        <v>4047</v>
      </c>
      <c r="E15">
        <f t="shared" si="4"/>
        <v>5096</v>
      </c>
    </row>
    <row r="16" spans="1:5" s="5" customFormat="1" x14ac:dyDescent="0.25">
      <c r="A16" s="11" t="s">
        <v>35</v>
      </c>
      <c r="B16" s="11"/>
      <c r="C16" s="11"/>
      <c r="D16" s="11"/>
      <c r="E16" s="11"/>
    </row>
    <row r="17" spans="1:5" s="5" customFormat="1" x14ac:dyDescent="0.25">
      <c r="A17" s="6" t="s">
        <v>31</v>
      </c>
      <c r="B17" s="7">
        <v>15</v>
      </c>
      <c r="C17" s="7">
        <v>15</v>
      </c>
      <c r="D17" s="7">
        <v>15</v>
      </c>
      <c r="E17" s="7">
        <v>15</v>
      </c>
    </row>
    <row r="18" spans="1:5" s="5" customFormat="1" x14ac:dyDescent="0.25">
      <c r="A18" s="6" t="s">
        <v>32</v>
      </c>
      <c r="B18" s="7">
        <v>125</v>
      </c>
      <c r="C18" s="7">
        <v>125</v>
      </c>
      <c r="D18" s="7">
        <v>125</v>
      </c>
      <c r="E18" s="7">
        <v>125</v>
      </c>
    </row>
    <row r="19" spans="1:5" s="5" customFormat="1" x14ac:dyDescent="0.25">
      <c r="A19" s="6" t="s">
        <v>2</v>
      </c>
      <c r="B19" s="7">
        <f>B17*B18</f>
        <v>1875</v>
      </c>
      <c r="C19" s="7">
        <f t="shared" ref="C19:E19" si="5">C17*C18</f>
        <v>1875</v>
      </c>
      <c r="D19" s="7">
        <f t="shared" si="5"/>
        <v>1875</v>
      </c>
      <c r="E19" s="7">
        <f t="shared" si="5"/>
        <v>1875</v>
      </c>
    </row>
    <row r="20" spans="1:5" s="5" customFormat="1" x14ac:dyDescent="0.25">
      <c r="A20" s="6" t="s">
        <v>39</v>
      </c>
      <c r="B20" s="7">
        <f>2.5</f>
        <v>2.5</v>
      </c>
      <c r="C20" s="7">
        <f t="shared" ref="C20:E20" si="6">2.5</f>
        <v>2.5</v>
      </c>
      <c r="D20" s="7">
        <f t="shared" si="6"/>
        <v>2.5</v>
      </c>
      <c r="E20" s="7">
        <f t="shared" si="6"/>
        <v>2.5</v>
      </c>
    </row>
    <row r="21" spans="1:5" s="5" customFormat="1" x14ac:dyDescent="0.25">
      <c r="A21" s="6" t="s">
        <v>38</v>
      </c>
      <c r="B21" s="9">
        <f>B18*B20</f>
        <v>312.5</v>
      </c>
      <c r="C21" s="9">
        <f t="shared" ref="C21:E21" si="7">C18*C20</f>
        <v>312.5</v>
      </c>
      <c r="D21" s="9">
        <f t="shared" si="7"/>
        <v>312.5</v>
      </c>
      <c r="E21" s="9">
        <f t="shared" si="7"/>
        <v>312.5</v>
      </c>
    </row>
    <row r="22" spans="1:5" s="5" customFormat="1" x14ac:dyDescent="0.25">
      <c r="A22" s="6" t="s">
        <v>4</v>
      </c>
      <c r="B22" s="9">
        <f>B19-B21</f>
        <v>1562.5</v>
      </c>
      <c r="C22" s="9">
        <f t="shared" ref="C22:E22" si="8">C19-C21</f>
        <v>1562.5</v>
      </c>
      <c r="D22" s="9">
        <f t="shared" si="8"/>
        <v>1562.5</v>
      </c>
      <c r="E22" s="9">
        <f t="shared" si="8"/>
        <v>1562.5</v>
      </c>
    </row>
    <row r="23" spans="1:5" s="5" customFormat="1" x14ac:dyDescent="0.25">
      <c r="A23" s="6" t="s">
        <v>37</v>
      </c>
      <c r="B23" s="8">
        <f>10%</f>
        <v>0.1</v>
      </c>
      <c r="C23" s="8">
        <f>10%</f>
        <v>0.1</v>
      </c>
      <c r="D23" s="8">
        <f>10%</f>
        <v>0.1</v>
      </c>
      <c r="E23" s="8">
        <f>10%</f>
        <v>0.1</v>
      </c>
    </row>
    <row r="24" spans="1:5" x14ac:dyDescent="0.25">
      <c r="A24" s="4" t="s">
        <v>33</v>
      </c>
      <c r="B24" s="2">
        <f>B23*B22</f>
        <v>156.25</v>
      </c>
      <c r="C24" s="2">
        <f t="shared" ref="C24:E24" si="9">C23*C22</f>
        <v>156.25</v>
      </c>
      <c r="D24" s="2">
        <f t="shared" si="9"/>
        <v>156.25</v>
      </c>
      <c r="E24" s="2">
        <f t="shared" si="9"/>
        <v>156.25</v>
      </c>
    </row>
    <row r="25" spans="1:5" s="5" customFormat="1" x14ac:dyDescent="0.25">
      <c r="A25" s="11" t="s">
        <v>36</v>
      </c>
      <c r="B25" s="11"/>
      <c r="C25" s="11"/>
      <c r="D25" s="11"/>
      <c r="E25" s="11"/>
    </row>
    <row r="26" spans="1:5" s="5" customFormat="1" x14ac:dyDescent="0.25">
      <c r="A26" s="6" t="s">
        <v>31</v>
      </c>
      <c r="B26" s="7">
        <v>19</v>
      </c>
      <c r="C26" s="7">
        <v>19</v>
      </c>
      <c r="D26" s="7">
        <v>19</v>
      </c>
      <c r="E26" s="7">
        <v>19</v>
      </c>
    </row>
    <row r="27" spans="1:5" s="5" customFormat="1" x14ac:dyDescent="0.25">
      <c r="A27" s="6" t="s">
        <v>32</v>
      </c>
      <c r="B27" s="7">
        <v>480</v>
      </c>
      <c r="C27" s="7">
        <v>480</v>
      </c>
      <c r="D27" s="7">
        <v>480</v>
      </c>
      <c r="E27" s="7">
        <v>480</v>
      </c>
    </row>
    <row r="28" spans="1:5" s="5" customFormat="1" x14ac:dyDescent="0.25">
      <c r="A28" s="6" t="s">
        <v>2</v>
      </c>
      <c r="B28" s="7">
        <f>B26*B27</f>
        <v>9120</v>
      </c>
      <c r="C28" s="7">
        <f t="shared" ref="C28" si="10">C26*C27</f>
        <v>9120</v>
      </c>
      <c r="D28" s="7">
        <f t="shared" ref="D28" si="11">D26*D27</f>
        <v>9120</v>
      </c>
      <c r="E28" s="7">
        <f t="shared" ref="E28" si="12">E26*E27</f>
        <v>9120</v>
      </c>
    </row>
    <row r="29" spans="1:5" s="5" customFormat="1" x14ac:dyDescent="0.25">
      <c r="A29" s="6" t="s">
        <v>39</v>
      </c>
      <c r="B29" s="7">
        <f>7</f>
        <v>7</v>
      </c>
      <c r="C29" s="7">
        <f>7</f>
        <v>7</v>
      </c>
      <c r="D29" s="7">
        <f>7</f>
        <v>7</v>
      </c>
      <c r="E29" s="7">
        <f>7</f>
        <v>7</v>
      </c>
    </row>
    <row r="30" spans="1:5" s="5" customFormat="1" x14ac:dyDescent="0.25">
      <c r="A30" s="6" t="s">
        <v>38</v>
      </c>
      <c r="B30" s="9">
        <f>B27*B29</f>
        <v>3360</v>
      </c>
      <c r="C30" s="9">
        <f t="shared" ref="C30" si="13">C27*C29</f>
        <v>3360</v>
      </c>
      <c r="D30" s="9">
        <f t="shared" ref="D30" si="14">D27*D29</f>
        <v>3360</v>
      </c>
      <c r="E30" s="9">
        <f t="shared" ref="E30" si="15">E27*E29</f>
        <v>3360</v>
      </c>
    </row>
    <row r="31" spans="1:5" s="5" customFormat="1" x14ac:dyDescent="0.25">
      <c r="A31" s="6" t="s">
        <v>4</v>
      </c>
      <c r="B31" s="9">
        <f>B28-B30</f>
        <v>5760</v>
      </c>
      <c r="C31" s="9">
        <f t="shared" ref="C31" si="16">C28-C30</f>
        <v>5760</v>
      </c>
      <c r="D31" s="9">
        <f t="shared" ref="D31" si="17">D28-D30</f>
        <v>5760</v>
      </c>
      <c r="E31" s="9">
        <f t="shared" ref="E31" si="18">E28-E30</f>
        <v>5760</v>
      </c>
    </row>
    <row r="32" spans="1:5" s="5" customFormat="1" x14ac:dyDescent="0.25">
      <c r="A32" s="6" t="s">
        <v>37</v>
      </c>
      <c r="B32" s="8">
        <f>10%</f>
        <v>0.1</v>
      </c>
      <c r="C32" s="8">
        <f>10%</f>
        <v>0.1</v>
      </c>
      <c r="D32" s="8">
        <f>10%</f>
        <v>0.1</v>
      </c>
      <c r="E32" s="8">
        <f>10%</f>
        <v>0.1</v>
      </c>
    </row>
    <row r="33" spans="1:5" x14ac:dyDescent="0.25">
      <c r="A33" s="4" t="s">
        <v>33</v>
      </c>
      <c r="B33">
        <f>B32*B31</f>
        <v>576</v>
      </c>
      <c r="C33">
        <f t="shared" ref="C33:E33" si="19">C32*C31</f>
        <v>576</v>
      </c>
      <c r="D33">
        <f t="shared" si="19"/>
        <v>576</v>
      </c>
      <c r="E33">
        <f t="shared" si="19"/>
        <v>576</v>
      </c>
    </row>
    <row r="34" spans="1:5" x14ac:dyDescent="0.25">
      <c r="A34" s="4" t="s">
        <v>40</v>
      </c>
      <c r="B34" s="2">
        <f>B15+B24+B33</f>
        <v>2681.25</v>
      </c>
      <c r="C34" s="2">
        <f t="shared" ref="C34:E34" si="20">C15+C24+C33</f>
        <v>3730.25</v>
      </c>
      <c r="D34" s="2">
        <f t="shared" si="20"/>
        <v>4779.25</v>
      </c>
      <c r="E34" s="2">
        <f t="shared" si="20"/>
        <v>5828.25</v>
      </c>
    </row>
    <row r="35" spans="1:5" x14ac:dyDescent="0.25">
      <c r="A35" t="s">
        <v>5</v>
      </c>
      <c r="B35" s="2">
        <f>759209905/1000000</f>
        <v>759.20990500000005</v>
      </c>
      <c r="C35" s="2">
        <f t="shared" ref="C35:E35" si="21">759209905/1000000</f>
        <v>759.20990500000005</v>
      </c>
      <c r="D35" s="2">
        <f t="shared" si="21"/>
        <v>759.20990500000005</v>
      </c>
      <c r="E35" s="2">
        <f t="shared" si="21"/>
        <v>759.20990500000005</v>
      </c>
    </row>
    <row r="36" spans="1:5" x14ac:dyDescent="0.25">
      <c r="A36" t="s">
        <v>23</v>
      </c>
      <c r="B36" s="2">
        <f>523240603/1000000</f>
        <v>523.24060299999996</v>
      </c>
      <c r="C36" s="2">
        <f t="shared" ref="C36:E36" si="22">523240603/1000000</f>
        <v>523.24060299999996</v>
      </c>
      <c r="D36" s="2">
        <f t="shared" si="22"/>
        <v>523.24060299999996</v>
      </c>
      <c r="E36" s="2">
        <f t="shared" si="22"/>
        <v>523.24060299999996</v>
      </c>
    </row>
    <row r="37" spans="1:5" x14ac:dyDescent="0.25">
      <c r="A37" s="4" t="s">
        <v>6</v>
      </c>
      <c r="B37" s="2">
        <f>B35-B36</f>
        <v>235.96930200000008</v>
      </c>
      <c r="C37" s="2">
        <f t="shared" ref="C37:E37" si="23">C35-C36</f>
        <v>235.96930200000008</v>
      </c>
      <c r="D37" s="2">
        <f t="shared" si="23"/>
        <v>235.96930200000008</v>
      </c>
      <c r="E37" s="2">
        <f t="shared" si="23"/>
        <v>235.96930200000008</v>
      </c>
    </row>
    <row r="38" spans="1:5" x14ac:dyDescent="0.25">
      <c r="A38" t="s">
        <v>7</v>
      </c>
      <c r="B38" s="1">
        <f>B34/B37</f>
        <v>11.362706832094622</v>
      </c>
      <c r="C38" s="1">
        <f t="shared" ref="C38:E38" si="24">C34/C37</f>
        <v>15.808200339550941</v>
      </c>
      <c r="D38" s="1">
        <f t="shared" si="24"/>
        <v>20.253693847007263</v>
      </c>
      <c r="E38" s="1">
        <f t="shared" si="24"/>
        <v>24.699187354463582</v>
      </c>
    </row>
    <row r="39" spans="1:5" x14ac:dyDescent="0.25">
      <c r="A39" s="4" t="s">
        <v>10</v>
      </c>
      <c r="B39">
        <f>1.18</f>
        <v>1.18</v>
      </c>
      <c r="C39">
        <f t="shared" ref="C39:E39" si="25">1.18</f>
        <v>1.18</v>
      </c>
      <c r="D39">
        <f t="shared" si="25"/>
        <v>1.18</v>
      </c>
      <c r="E39">
        <f t="shared" si="25"/>
        <v>1.18</v>
      </c>
    </row>
    <row r="40" spans="1:5" x14ac:dyDescent="0.25">
      <c r="A40" t="s">
        <v>8</v>
      </c>
      <c r="B40" s="1">
        <f>B38/B39</f>
        <v>9.6294125695717145</v>
      </c>
      <c r="C40" s="1">
        <f t="shared" ref="C40:E40" si="26">C38/C39</f>
        <v>13.396779948771984</v>
      </c>
      <c r="D40" s="1">
        <f t="shared" si="26"/>
        <v>17.164147327972259</v>
      </c>
      <c r="E40" s="1">
        <f t="shared" si="26"/>
        <v>20.931514707172528</v>
      </c>
    </row>
    <row r="41" spans="1:5" x14ac:dyDescent="0.25">
      <c r="A41" t="s">
        <v>11</v>
      </c>
      <c r="B41">
        <f>1.57</f>
        <v>1.57</v>
      </c>
      <c r="C41">
        <f t="shared" ref="C41:E41" si="27">1.57</f>
        <v>1.57</v>
      </c>
      <c r="D41">
        <f t="shared" si="27"/>
        <v>1.57</v>
      </c>
      <c r="E41">
        <f t="shared" si="27"/>
        <v>1.57</v>
      </c>
    </row>
    <row r="42" spans="1:5" x14ac:dyDescent="0.25">
      <c r="A42" t="s">
        <v>22</v>
      </c>
      <c r="B42" s="1">
        <f>B40+B41</f>
        <v>11.199412569571715</v>
      </c>
      <c r="C42" s="1">
        <f t="shared" ref="C42:E42" si="28">C40+C41</f>
        <v>14.966779948771984</v>
      </c>
      <c r="D42" s="1">
        <f t="shared" si="28"/>
        <v>18.734147327972259</v>
      </c>
      <c r="E42" s="1">
        <f t="shared" si="28"/>
        <v>22.501514707172529</v>
      </c>
    </row>
    <row r="43" spans="1:5" x14ac:dyDescent="0.25">
      <c r="A43" s="4" t="s">
        <v>20</v>
      </c>
      <c r="B43" s="2">
        <f>B42*100</f>
        <v>1119.9412569571714</v>
      </c>
      <c r="C43" s="2">
        <f t="shared" ref="C43:E43" si="29">C42*100</f>
        <v>1496.6779948771984</v>
      </c>
      <c r="D43" s="2">
        <f t="shared" si="29"/>
        <v>1873.414732797226</v>
      </c>
      <c r="E43" s="2">
        <f t="shared" si="29"/>
        <v>2250.1514707172528</v>
      </c>
    </row>
    <row r="44" spans="1:5" x14ac:dyDescent="0.25">
      <c r="A44" s="4" t="s">
        <v>15</v>
      </c>
      <c r="B44">
        <v>595</v>
      </c>
      <c r="C44">
        <v>595</v>
      </c>
      <c r="D44">
        <v>595</v>
      </c>
      <c r="E44">
        <v>595</v>
      </c>
    </row>
    <row r="45" spans="1:5" x14ac:dyDescent="0.25">
      <c r="A45" s="4" t="s">
        <v>16</v>
      </c>
      <c r="B45" s="3">
        <f>B43/B44-1</f>
        <v>0.88225421337339727</v>
      </c>
      <c r="C45" s="3">
        <f t="shared" ref="C45:E45" si="30">C43/C44-1</f>
        <v>1.5154252014742831</v>
      </c>
      <c r="D45" s="3">
        <f t="shared" si="30"/>
        <v>2.1485961895751697</v>
      </c>
      <c r="E45" s="3">
        <f t="shared" si="30"/>
        <v>2.7817671776760551</v>
      </c>
    </row>
  </sheetData>
  <mergeCells count="3">
    <mergeCell ref="A1:E1"/>
    <mergeCell ref="A16:E16"/>
    <mergeCell ref="A25:E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3C78-B090-4354-8285-FB4151D5E6FA}">
  <dimension ref="A1:E46"/>
  <sheetViews>
    <sheetView workbookViewId="0">
      <selection activeCell="B40" sqref="B40"/>
    </sheetView>
  </sheetViews>
  <sheetFormatPr baseColWidth="10" defaultRowHeight="15" x14ac:dyDescent="0.25"/>
  <cols>
    <col min="1" max="1" width="49.7109375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17</v>
      </c>
      <c r="B4">
        <v>230</v>
      </c>
      <c r="C4">
        <v>230</v>
      </c>
      <c r="D4">
        <v>230</v>
      </c>
      <c r="E4">
        <v>230</v>
      </c>
    </row>
    <row r="5" spans="1:5" x14ac:dyDescent="0.25">
      <c r="A5" t="s">
        <v>28</v>
      </c>
      <c r="B5">
        <f>47</f>
        <v>47</v>
      </c>
      <c r="C5">
        <f>47</f>
        <v>47</v>
      </c>
      <c r="D5">
        <f>47</f>
        <v>47</v>
      </c>
      <c r="E5">
        <f>47</f>
        <v>47</v>
      </c>
    </row>
    <row r="6" spans="1:5" x14ac:dyDescent="0.25">
      <c r="A6" t="s">
        <v>29</v>
      </c>
      <c r="B6">
        <f>140</f>
        <v>140</v>
      </c>
      <c r="C6">
        <f>140</f>
        <v>140</v>
      </c>
      <c r="D6">
        <f>140</f>
        <v>140</v>
      </c>
      <c r="E6">
        <f>140</f>
        <v>140</v>
      </c>
    </row>
    <row r="7" spans="1:5" x14ac:dyDescent="0.25">
      <c r="A7" s="4" t="s">
        <v>14</v>
      </c>
      <c r="B7">
        <f>B3+B4-B5-B6</f>
        <v>1279</v>
      </c>
      <c r="C7">
        <f t="shared" ref="C7:E7" si="0">C3+C4-C5-C6</f>
        <v>1279</v>
      </c>
      <c r="D7">
        <f t="shared" si="0"/>
        <v>1279</v>
      </c>
      <c r="E7">
        <f t="shared" si="0"/>
        <v>1279</v>
      </c>
    </row>
    <row r="8" spans="1:5" x14ac:dyDescent="0.25">
      <c r="A8" s="4" t="s">
        <v>2</v>
      </c>
      <c r="B8">
        <f>B7*B2</f>
        <v>5116</v>
      </c>
      <c r="C8">
        <f t="shared" ref="C8:E8" si="1">C7*C2</f>
        <v>6395</v>
      </c>
      <c r="D8">
        <f t="shared" si="1"/>
        <v>7674</v>
      </c>
      <c r="E8">
        <f t="shared" si="1"/>
        <v>8953</v>
      </c>
    </row>
    <row r="9" spans="1:5" x14ac:dyDescent="0.25">
      <c r="A9" s="4" t="s">
        <v>27</v>
      </c>
      <c r="B9" s="2">
        <f>2.25*B7</f>
        <v>2877.75</v>
      </c>
      <c r="C9" s="2">
        <f t="shared" ref="C9:E9" si="2">2.25*C7</f>
        <v>2877.75</v>
      </c>
      <c r="D9" s="2">
        <f t="shared" si="2"/>
        <v>2877.75</v>
      </c>
      <c r="E9" s="2">
        <f t="shared" si="2"/>
        <v>2877.75</v>
      </c>
    </row>
    <row r="10" spans="1:5" x14ac:dyDescent="0.25">
      <c r="A10" t="s">
        <v>3</v>
      </c>
      <c r="B10">
        <f>3800</f>
        <v>3800</v>
      </c>
      <c r="C10">
        <f>3800</f>
        <v>3800</v>
      </c>
      <c r="D10">
        <f>3800</f>
        <v>3800</v>
      </c>
      <c r="E10">
        <f>3800</f>
        <v>3800</v>
      </c>
    </row>
    <row r="11" spans="1:5" x14ac:dyDescent="0.25">
      <c r="A11" t="s">
        <v>24</v>
      </c>
      <c r="B11">
        <f>260</f>
        <v>260</v>
      </c>
      <c r="C11">
        <f>260</f>
        <v>260</v>
      </c>
      <c r="D11">
        <f>260</f>
        <v>260</v>
      </c>
      <c r="E11">
        <f>260</f>
        <v>260</v>
      </c>
    </row>
    <row r="12" spans="1:5" x14ac:dyDescent="0.25">
      <c r="A12" t="s">
        <v>25</v>
      </c>
      <c r="B12">
        <f>538</f>
        <v>538</v>
      </c>
      <c r="C12">
        <f>538</f>
        <v>538</v>
      </c>
      <c r="D12">
        <f>538</f>
        <v>538</v>
      </c>
      <c r="E12">
        <f>538</f>
        <v>538</v>
      </c>
    </row>
    <row r="13" spans="1:5" x14ac:dyDescent="0.25">
      <c r="A13" t="s">
        <v>26</v>
      </c>
      <c r="B13">
        <f>1776</f>
        <v>1776</v>
      </c>
      <c r="C13">
        <f>1776</f>
        <v>1776</v>
      </c>
      <c r="D13">
        <f>1776</f>
        <v>1776</v>
      </c>
      <c r="E13">
        <f>1776</f>
        <v>1776</v>
      </c>
    </row>
    <row r="14" spans="1:5" x14ac:dyDescent="0.25">
      <c r="A14" t="s">
        <v>9</v>
      </c>
      <c r="B14">
        <f>1405</f>
        <v>1405</v>
      </c>
      <c r="C14">
        <f>1405</f>
        <v>1405</v>
      </c>
      <c r="D14">
        <f>1405</f>
        <v>1405</v>
      </c>
      <c r="E14">
        <f>1405</f>
        <v>1405</v>
      </c>
    </row>
    <row r="15" spans="1:5" x14ac:dyDescent="0.25">
      <c r="A15" s="4" t="s">
        <v>18</v>
      </c>
      <c r="B15">
        <f>B10-B11-B12-B13+B14</f>
        <v>2631</v>
      </c>
      <c r="C15">
        <f t="shared" ref="C15:E15" si="3">C10-C11-C12-C13+C14</f>
        <v>2631</v>
      </c>
      <c r="D15">
        <f t="shared" si="3"/>
        <v>2631</v>
      </c>
      <c r="E15">
        <f t="shared" si="3"/>
        <v>2631</v>
      </c>
    </row>
    <row r="16" spans="1:5" x14ac:dyDescent="0.25">
      <c r="A16" s="4" t="s">
        <v>30</v>
      </c>
      <c r="B16">
        <f>B8-B15</f>
        <v>2485</v>
      </c>
      <c r="C16">
        <f t="shared" ref="C16:E16" si="4">C8-C15</f>
        <v>3764</v>
      </c>
      <c r="D16">
        <f t="shared" si="4"/>
        <v>5043</v>
      </c>
      <c r="E16">
        <f t="shared" si="4"/>
        <v>6322</v>
      </c>
    </row>
    <row r="17" spans="1:5" s="5" customFormat="1" x14ac:dyDescent="0.25">
      <c r="A17" s="11" t="s">
        <v>35</v>
      </c>
      <c r="B17" s="11"/>
      <c r="C17" s="11"/>
      <c r="D17" s="11"/>
      <c r="E17" s="11"/>
    </row>
    <row r="18" spans="1:5" s="5" customFormat="1" x14ac:dyDescent="0.25">
      <c r="A18" s="6" t="s">
        <v>31</v>
      </c>
      <c r="B18" s="7">
        <v>15</v>
      </c>
      <c r="C18" s="7">
        <v>15</v>
      </c>
      <c r="D18" s="7">
        <v>15</v>
      </c>
      <c r="E18" s="7">
        <v>15</v>
      </c>
    </row>
    <row r="19" spans="1:5" s="5" customFormat="1" x14ac:dyDescent="0.25">
      <c r="A19" s="6" t="s">
        <v>32</v>
      </c>
      <c r="B19" s="7">
        <v>125</v>
      </c>
      <c r="C19" s="7">
        <v>125</v>
      </c>
      <c r="D19" s="7">
        <v>125</v>
      </c>
      <c r="E19" s="7">
        <v>125</v>
      </c>
    </row>
    <row r="20" spans="1:5" s="5" customFormat="1" x14ac:dyDescent="0.25">
      <c r="A20" s="6" t="s">
        <v>2</v>
      </c>
      <c r="B20" s="7">
        <f>B18*B19</f>
        <v>1875</v>
      </c>
      <c r="C20" s="7">
        <f t="shared" ref="C20:E20" si="5">C18*C19</f>
        <v>1875</v>
      </c>
      <c r="D20" s="7">
        <f t="shared" si="5"/>
        <v>1875</v>
      </c>
      <c r="E20" s="7">
        <f t="shared" si="5"/>
        <v>1875</v>
      </c>
    </row>
    <row r="21" spans="1:5" s="5" customFormat="1" x14ac:dyDescent="0.25">
      <c r="A21" s="6" t="s">
        <v>39</v>
      </c>
      <c r="B21" s="7">
        <f>2.5</f>
        <v>2.5</v>
      </c>
      <c r="C21" s="7">
        <f t="shared" ref="C21:E21" si="6">2.5</f>
        <v>2.5</v>
      </c>
      <c r="D21" s="7">
        <f t="shared" si="6"/>
        <v>2.5</v>
      </c>
      <c r="E21" s="7">
        <f t="shared" si="6"/>
        <v>2.5</v>
      </c>
    </row>
    <row r="22" spans="1:5" s="5" customFormat="1" x14ac:dyDescent="0.25">
      <c r="A22" s="6" t="s">
        <v>38</v>
      </c>
      <c r="B22" s="9">
        <f>B19*B21</f>
        <v>312.5</v>
      </c>
      <c r="C22" s="9">
        <f t="shared" ref="C22:E22" si="7">C19*C21</f>
        <v>312.5</v>
      </c>
      <c r="D22" s="9">
        <f t="shared" si="7"/>
        <v>312.5</v>
      </c>
      <c r="E22" s="9">
        <f t="shared" si="7"/>
        <v>312.5</v>
      </c>
    </row>
    <row r="23" spans="1:5" s="5" customFormat="1" x14ac:dyDescent="0.25">
      <c r="A23" s="6" t="s">
        <v>4</v>
      </c>
      <c r="B23" s="9">
        <f>B20-B22</f>
        <v>1562.5</v>
      </c>
      <c r="C23" s="9">
        <f t="shared" ref="C23:E23" si="8">C20-C22</f>
        <v>1562.5</v>
      </c>
      <c r="D23" s="9">
        <f t="shared" si="8"/>
        <v>1562.5</v>
      </c>
      <c r="E23" s="9">
        <f t="shared" si="8"/>
        <v>1562.5</v>
      </c>
    </row>
    <row r="24" spans="1:5" s="5" customFormat="1" x14ac:dyDescent="0.25">
      <c r="A24" s="6" t="s">
        <v>37</v>
      </c>
      <c r="B24" s="8">
        <f>10%</f>
        <v>0.1</v>
      </c>
      <c r="C24" s="8">
        <f>10%</f>
        <v>0.1</v>
      </c>
      <c r="D24" s="8">
        <f>10%</f>
        <v>0.1</v>
      </c>
      <c r="E24" s="8">
        <f>10%</f>
        <v>0.1</v>
      </c>
    </row>
    <row r="25" spans="1:5" x14ac:dyDescent="0.25">
      <c r="A25" s="4" t="s">
        <v>33</v>
      </c>
      <c r="B25" s="2">
        <f>0.1*(15*125-2.5*125)</f>
        <v>156.25</v>
      </c>
      <c r="C25" s="2">
        <f t="shared" ref="C25:E25" si="9">0.1*(15*125-2.5*125)</f>
        <v>156.25</v>
      </c>
      <c r="D25" s="2">
        <f t="shared" si="9"/>
        <v>156.25</v>
      </c>
      <c r="E25" s="2">
        <f t="shared" si="9"/>
        <v>156.25</v>
      </c>
    </row>
    <row r="26" spans="1:5" s="5" customFormat="1" x14ac:dyDescent="0.25">
      <c r="A26" s="11" t="s">
        <v>36</v>
      </c>
      <c r="B26" s="11"/>
      <c r="C26" s="11"/>
      <c r="D26" s="11"/>
      <c r="E26" s="11"/>
    </row>
    <row r="27" spans="1:5" s="5" customFormat="1" x14ac:dyDescent="0.25">
      <c r="A27" s="6" t="s">
        <v>31</v>
      </c>
      <c r="B27" s="7">
        <v>15</v>
      </c>
      <c r="C27" s="7">
        <v>15</v>
      </c>
      <c r="D27" s="7">
        <v>15</v>
      </c>
      <c r="E27" s="7">
        <v>15</v>
      </c>
    </row>
    <row r="28" spans="1:5" s="5" customFormat="1" x14ac:dyDescent="0.25">
      <c r="A28" s="6" t="s">
        <v>32</v>
      </c>
      <c r="B28" s="7">
        <v>480</v>
      </c>
      <c r="C28" s="7">
        <v>480</v>
      </c>
      <c r="D28" s="7">
        <v>480</v>
      </c>
      <c r="E28" s="7">
        <v>480</v>
      </c>
    </row>
    <row r="29" spans="1:5" s="5" customFormat="1" x14ac:dyDescent="0.25">
      <c r="A29" s="6" t="s">
        <v>2</v>
      </c>
      <c r="B29" s="7">
        <f>B27*B28</f>
        <v>7200</v>
      </c>
      <c r="C29" s="7">
        <f t="shared" ref="C29:E29" si="10">C27*C28</f>
        <v>7200</v>
      </c>
      <c r="D29" s="7">
        <f t="shared" si="10"/>
        <v>7200</v>
      </c>
      <c r="E29" s="7">
        <f t="shared" si="10"/>
        <v>7200</v>
      </c>
    </row>
    <row r="30" spans="1:5" s="5" customFormat="1" x14ac:dyDescent="0.25">
      <c r="A30" s="6" t="s">
        <v>39</v>
      </c>
      <c r="B30" s="7">
        <f>7</f>
        <v>7</v>
      </c>
      <c r="C30" s="7">
        <f>7</f>
        <v>7</v>
      </c>
      <c r="D30" s="7">
        <f>7</f>
        <v>7</v>
      </c>
      <c r="E30" s="7">
        <f>7</f>
        <v>7</v>
      </c>
    </row>
    <row r="31" spans="1:5" s="5" customFormat="1" x14ac:dyDescent="0.25">
      <c r="A31" s="6" t="s">
        <v>38</v>
      </c>
      <c r="B31" s="9">
        <f>B28*B30</f>
        <v>3360</v>
      </c>
      <c r="C31" s="9">
        <f t="shared" ref="C31:E31" si="11">C28*C30</f>
        <v>3360</v>
      </c>
      <c r="D31" s="9">
        <f t="shared" si="11"/>
        <v>3360</v>
      </c>
      <c r="E31" s="9">
        <f t="shared" si="11"/>
        <v>3360</v>
      </c>
    </row>
    <row r="32" spans="1:5" s="5" customFormat="1" x14ac:dyDescent="0.25">
      <c r="A32" s="6" t="s">
        <v>4</v>
      </c>
      <c r="B32" s="9">
        <f>B29-B31</f>
        <v>3840</v>
      </c>
      <c r="C32" s="9">
        <f t="shared" ref="C32:E32" si="12">C29-C31</f>
        <v>3840</v>
      </c>
      <c r="D32" s="9">
        <f t="shared" si="12"/>
        <v>3840</v>
      </c>
      <c r="E32" s="9">
        <f t="shared" si="12"/>
        <v>3840</v>
      </c>
    </row>
    <row r="33" spans="1:5" s="5" customFormat="1" x14ac:dyDescent="0.25">
      <c r="A33" s="6" t="s">
        <v>37</v>
      </c>
      <c r="B33" s="8">
        <f>10%</f>
        <v>0.1</v>
      </c>
      <c r="C33" s="8">
        <f>10%</f>
        <v>0.1</v>
      </c>
      <c r="D33" s="8">
        <f>10%</f>
        <v>0.1</v>
      </c>
      <c r="E33" s="8">
        <f>10%</f>
        <v>0.1</v>
      </c>
    </row>
    <row r="34" spans="1:5" x14ac:dyDescent="0.25">
      <c r="A34" s="4" t="s">
        <v>33</v>
      </c>
      <c r="B34">
        <f>B33*B32</f>
        <v>384</v>
      </c>
      <c r="C34">
        <f t="shared" ref="C34:E34" si="13">C33*C32</f>
        <v>384</v>
      </c>
      <c r="D34">
        <f t="shared" si="13"/>
        <v>384</v>
      </c>
      <c r="E34">
        <f t="shared" si="13"/>
        <v>384</v>
      </c>
    </row>
    <row r="35" spans="1:5" x14ac:dyDescent="0.25">
      <c r="A35" s="4" t="s">
        <v>40</v>
      </c>
      <c r="B35" s="2">
        <f>B16+B25+B34</f>
        <v>3025.25</v>
      </c>
      <c r="C35" s="2">
        <f>C16+C25+C34</f>
        <v>4304.25</v>
      </c>
      <c r="D35" s="2">
        <f>D16+D25+D34</f>
        <v>5583.25</v>
      </c>
      <c r="E35" s="2">
        <f>E16+E25+E34</f>
        <v>6862.25</v>
      </c>
    </row>
    <row r="36" spans="1:5" x14ac:dyDescent="0.25">
      <c r="A36" t="s">
        <v>5</v>
      </c>
      <c r="B36" s="2">
        <f>759209905/1000000</f>
        <v>759.20990500000005</v>
      </c>
      <c r="C36" s="2">
        <f t="shared" ref="C36:E36" si="14">759209905/1000000</f>
        <v>759.20990500000005</v>
      </c>
      <c r="D36" s="2">
        <f t="shared" si="14"/>
        <v>759.20990500000005</v>
      </c>
      <c r="E36" s="2">
        <f t="shared" si="14"/>
        <v>759.20990500000005</v>
      </c>
    </row>
    <row r="37" spans="1:5" x14ac:dyDescent="0.25">
      <c r="A37" t="s">
        <v>23</v>
      </c>
      <c r="B37" s="2">
        <f>523240603/1000000</f>
        <v>523.24060299999996</v>
      </c>
      <c r="C37" s="2">
        <f t="shared" ref="C37:E37" si="15">523240603/1000000</f>
        <v>523.24060299999996</v>
      </c>
      <c r="D37" s="2">
        <f t="shared" si="15"/>
        <v>523.24060299999996</v>
      </c>
      <c r="E37" s="2">
        <f t="shared" si="15"/>
        <v>523.24060299999996</v>
      </c>
    </row>
    <row r="38" spans="1:5" x14ac:dyDescent="0.25">
      <c r="A38" s="4" t="s">
        <v>6</v>
      </c>
      <c r="B38" s="2">
        <f>B36-B37</f>
        <v>235.96930200000008</v>
      </c>
      <c r="C38" s="2">
        <f t="shared" ref="C38:E38" si="16">C36-C37</f>
        <v>235.96930200000008</v>
      </c>
      <c r="D38" s="2">
        <f t="shared" si="16"/>
        <v>235.96930200000008</v>
      </c>
      <c r="E38" s="2">
        <f t="shared" si="16"/>
        <v>235.96930200000008</v>
      </c>
    </row>
    <row r="39" spans="1:5" x14ac:dyDescent="0.25">
      <c r="A39" t="s">
        <v>7</v>
      </c>
      <c r="B39" s="1">
        <f>B35/B38</f>
        <v>12.820523578105083</v>
      </c>
      <c r="C39" s="1">
        <f t="shared" ref="C39:E39" si="17">C35/C38</f>
        <v>18.240720142487003</v>
      </c>
      <c r="D39" s="1">
        <f t="shared" si="17"/>
        <v>23.660916706868921</v>
      </c>
      <c r="E39" s="1">
        <f t="shared" si="17"/>
        <v>29.081113271250842</v>
      </c>
    </row>
    <row r="40" spans="1:5" x14ac:dyDescent="0.25">
      <c r="A40" s="4" t="s">
        <v>10</v>
      </c>
      <c r="B40">
        <f>1.18</f>
        <v>1.18</v>
      </c>
      <c r="C40">
        <f t="shared" ref="C40:E40" si="18">1.18</f>
        <v>1.18</v>
      </c>
      <c r="D40">
        <f t="shared" si="18"/>
        <v>1.18</v>
      </c>
      <c r="E40">
        <f t="shared" si="18"/>
        <v>1.18</v>
      </c>
    </row>
    <row r="41" spans="1:5" x14ac:dyDescent="0.25">
      <c r="A41" t="s">
        <v>8</v>
      </c>
      <c r="B41" s="1">
        <f>B39/B40</f>
        <v>10.864850489919563</v>
      </c>
      <c r="C41" s="1">
        <f t="shared" ref="C41:E41" si="19">C39/C40</f>
        <v>15.458237408887292</v>
      </c>
      <c r="D41" s="1">
        <f t="shared" si="19"/>
        <v>20.05162432785502</v>
      </c>
      <c r="E41" s="1">
        <f t="shared" si="19"/>
        <v>24.645011246822751</v>
      </c>
    </row>
    <row r="42" spans="1:5" x14ac:dyDescent="0.25">
      <c r="A42" t="s">
        <v>11</v>
      </c>
      <c r="B42">
        <f>1.57</f>
        <v>1.57</v>
      </c>
      <c r="C42">
        <f t="shared" ref="C42:E42" si="20">1.57</f>
        <v>1.57</v>
      </c>
      <c r="D42">
        <f t="shared" si="20"/>
        <v>1.57</v>
      </c>
      <c r="E42">
        <f t="shared" si="20"/>
        <v>1.57</v>
      </c>
    </row>
    <row r="43" spans="1:5" x14ac:dyDescent="0.25">
      <c r="A43" t="s">
        <v>41</v>
      </c>
      <c r="B43" s="1">
        <f>B41+B42</f>
        <v>12.434850489919564</v>
      </c>
      <c r="C43" s="1">
        <f t="shared" ref="C43:E43" si="21">C41+C42</f>
        <v>17.028237408887293</v>
      </c>
      <c r="D43" s="1">
        <f t="shared" si="21"/>
        <v>21.62162432785502</v>
      </c>
      <c r="E43" s="1">
        <f t="shared" si="21"/>
        <v>26.215011246822751</v>
      </c>
    </row>
    <row r="44" spans="1:5" x14ac:dyDescent="0.25">
      <c r="A44" s="4" t="s">
        <v>20</v>
      </c>
      <c r="B44" s="2">
        <f>B43*100</f>
        <v>1243.4850489919563</v>
      </c>
      <c r="C44" s="2">
        <f t="shared" ref="C44:E44" si="22">C43*100</f>
        <v>1702.8237408887294</v>
      </c>
      <c r="D44" s="2">
        <f t="shared" si="22"/>
        <v>2162.162432785502</v>
      </c>
      <c r="E44" s="2">
        <f t="shared" si="22"/>
        <v>2621.5011246822751</v>
      </c>
    </row>
    <row r="45" spans="1:5" x14ac:dyDescent="0.25">
      <c r="A45" s="4" t="s">
        <v>15</v>
      </c>
      <c r="B45">
        <v>595</v>
      </c>
      <c r="C45">
        <v>595</v>
      </c>
      <c r="D45">
        <v>595</v>
      </c>
      <c r="E45">
        <v>595</v>
      </c>
    </row>
    <row r="46" spans="1:5" x14ac:dyDescent="0.25">
      <c r="A46" s="4" t="s">
        <v>16</v>
      </c>
      <c r="B46" s="3">
        <f>B44/B45-1</f>
        <v>1.0898908386419435</v>
      </c>
      <c r="C46" s="3">
        <f t="shared" ref="C46:E46" si="23">C44/C45-1</f>
        <v>1.8618886401491248</v>
      </c>
      <c r="D46" s="3">
        <f t="shared" si="23"/>
        <v>2.6338864416563057</v>
      </c>
      <c r="E46" s="3">
        <f t="shared" si="23"/>
        <v>3.4058842431634879</v>
      </c>
    </row>
  </sheetData>
  <mergeCells count="3">
    <mergeCell ref="A1:E1"/>
    <mergeCell ref="A17:E17"/>
    <mergeCell ref="A26:E2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2F94-95BD-44CD-A4DD-4E84629A5FE7}">
  <dimension ref="A1:E39"/>
  <sheetViews>
    <sheetView topLeftCell="A12" workbookViewId="0">
      <selection activeCell="B5" sqref="B5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28</v>
      </c>
      <c r="B4">
        <f>47</f>
        <v>47</v>
      </c>
      <c r="C4">
        <f>47</f>
        <v>47</v>
      </c>
      <c r="D4">
        <f>47</f>
        <v>47</v>
      </c>
      <c r="E4">
        <f>47</f>
        <v>47</v>
      </c>
    </row>
    <row r="5" spans="1:5" x14ac:dyDescent="0.25">
      <c r="A5" t="s">
        <v>29</v>
      </c>
      <c r="B5">
        <f>140</f>
        <v>140</v>
      </c>
      <c r="C5">
        <f>140</f>
        <v>140</v>
      </c>
      <c r="D5">
        <f>140</f>
        <v>140</v>
      </c>
      <c r="E5">
        <f>140</f>
        <v>140</v>
      </c>
    </row>
    <row r="6" spans="1:5" x14ac:dyDescent="0.25">
      <c r="A6" s="4" t="s">
        <v>14</v>
      </c>
      <c r="B6">
        <f>B3-B4-B5</f>
        <v>1049</v>
      </c>
      <c r="C6">
        <f t="shared" ref="C6:E6" si="0">C3-C4-C5</f>
        <v>1049</v>
      </c>
      <c r="D6">
        <f t="shared" si="0"/>
        <v>1049</v>
      </c>
      <c r="E6">
        <f t="shared" si="0"/>
        <v>1049</v>
      </c>
    </row>
    <row r="7" spans="1:5" x14ac:dyDescent="0.25">
      <c r="A7" s="4" t="s">
        <v>2</v>
      </c>
      <c r="B7">
        <f>B6*B2</f>
        <v>4196</v>
      </c>
      <c r="C7">
        <f t="shared" ref="C7:E7" si="1">C6*C2</f>
        <v>5245</v>
      </c>
      <c r="D7">
        <f t="shared" si="1"/>
        <v>6294</v>
      </c>
      <c r="E7">
        <f t="shared" si="1"/>
        <v>7343</v>
      </c>
    </row>
    <row r="8" spans="1:5" x14ac:dyDescent="0.25">
      <c r="A8" s="4" t="s">
        <v>42</v>
      </c>
      <c r="B8" s="2">
        <f>3.1*B6</f>
        <v>3251.9</v>
      </c>
      <c r="C8" s="2">
        <f t="shared" ref="C8:E8" si="2">3.1*C6</f>
        <v>3251.9</v>
      </c>
      <c r="D8" s="2">
        <f t="shared" si="2"/>
        <v>3251.9</v>
      </c>
      <c r="E8" s="2">
        <f t="shared" si="2"/>
        <v>3251.9</v>
      </c>
    </row>
    <row r="9" spans="1:5" x14ac:dyDescent="0.25">
      <c r="A9" t="s">
        <v>3</v>
      </c>
      <c r="B9">
        <v>3617</v>
      </c>
      <c r="C9">
        <v>3617</v>
      </c>
      <c r="D9">
        <v>3617</v>
      </c>
      <c r="E9">
        <v>3617</v>
      </c>
    </row>
    <row r="10" spans="1:5" x14ac:dyDescent="0.25">
      <c r="A10" t="s">
        <v>25</v>
      </c>
      <c r="B10">
        <f>538</f>
        <v>538</v>
      </c>
      <c r="C10">
        <f>538</f>
        <v>538</v>
      </c>
      <c r="D10">
        <f>538</f>
        <v>538</v>
      </c>
      <c r="E10">
        <f>538</f>
        <v>538</v>
      </c>
    </row>
    <row r="11" spans="1:5" x14ac:dyDescent="0.25">
      <c r="A11" t="s">
        <v>26</v>
      </c>
      <c r="B11">
        <v>1400</v>
      </c>
      <c r="C11">
        <v>1400</v>
      </c>
      <c r="D11">
        <v>1400</v>
      </c>
      <c r="E11">
        <v>1400</v>
      </c>
    </row>
    <row r="12" spans="1:5" x14ac:dyDescent="0.25">
      <c r="A12" t="s">
        <v>9</v>
      </c>
      <c r="B12">
        <f>1405</f>
        <v>1405</v>
      </c>
      <c r="C12">
        <f>1405</f>
        <v>1405</v>
      </c>
      <c r="D12">
        <f>1405</f>
        <v>1405</v>
      </c>
      <c r="E12">
        <f>1405</f>
        <v>1405</v>
      </c>
    </row>
    <row r="13" spans="1:5" s="4" customFormat="1" x14ac:dyDescent="0.25">
      <c r="A13" s="4" t="s">
        <v>18</v>
      </c>
      <c r="B13">
        <f>B9-B10-B11+B12</f>
        <v>3084</v>
      </c>
      <c r="C13">
        <f t="shared" ref="C13:E13" si="3">C9-C10-C11+C12</f>
        <v>3084</v>
      </c>
      <c r="D13">
        <f t="shared" si="3"/>
        <v>3084</v>
      </c>
      <c r="E13">
        <f t="shared" si="3"/>
        <v>3084</v>
      </c>
    </row>
    <row r="14" spans="1:5" x14ac:dyDescent="0.25">
      <c r="A14" s="4" t="s">
        <v>30</v>
      </c>
      <c r="B14">
        <f>B7-B13</f>
        <v>1112</v>
      </c>
      <c r="C14">
        <f>C7-C13</f>
        <v>2161</v>
      </c>
      <c r="D14">
        <f>D7-D13</f>
        <v>3210</v>
      </c>
      <c r="E14">
        <f>E7-E13</f>
        <v>4259</v>
      </c>
    </row>
    <row r="15" spans="1:5" s="5" customFormat="1" x14ac:dyDescent="0.25">
      <c r="A15" s="11" t="s">
        <v>35</v>
      </c>
      <c r="B15" s="11"/>
      <c r="C15" s="11"/>
      <c r="D15" s="11"/>
      <c r="E15" s="11"/>
    </row>
    <row r="16" spans="1:5" s="5" customFormat="1" x14ac:dyDescent="0.25">
      <c r="A16" s="6" t="s">
        <v>31</v>
      </c>
      <c r="B16" s="7">
        <v>15</v>
      </c>
      <c r="C16" s="7">
        <v>15</v>
      </c>
      <c r="D16" s="7">
        <v>15</v>
      </c>
      <c r="E16" s="7">
        <v>15</v>
      </c>
    </row>
    <row r="17" spans="1:5" s="5" customFormat="1" x14ac:dyDescent="0.25">
      <c r="A17" s="6" t="s">
        <v>32</v>
      </c>
      <c r="B17" s="7">
        <v>125</v>
      </c>
      <c r="C17" s="7">
        <v>125</v>
      </c>
      <c r="D17" s="7">
        <v>125</v>
      </c>
      <c r="E17" s="7">
        <v>125</v>
      </c>
    </row>
    <row r="18" spans="1:5" s="5" customFormat="1" x14ac:dyDescent="0.25">
      <c r="A18" s="6" t="s">
        <v>2</v>
      </c>
      <c r="B18" s="7">
        <f>B16*B17</f>
        <v>1875</v>
      </c>
      <c r="C18" s="7">
        <f t="shared" ref="C18:E18" si="4">C16*C17</f>
        <v>1875</v>
      </c>
      <c r="D18" s="7">
        <f t="shared" si="4"/>
        <v>1875</v>
      </c>
      <c r="E18" s="7">
        <f t="shared" si="4"/>
        <v>1875</v>
      </c>
    </row>
    <row r="19" spans="1:5" s="5" customFormat="1" x14ac:dyDescent="0.25">
      <c r="A19" s="6" t="s">
        <v>39</v>
      </c>
      <c r="B19" s="7">
        <f>2.5</f>
        <v>2.5</v>
      </c>
      <c r="C19" s="7">
        <f t="shared" ref="C19:E19" si="5">2.5</f>
        <v>2.5</v>
      </c>
      <c r="D19" s="7">
        <f t="shared" si="5"/>
        <v>2.5</v>
      </c>
      <c r="E19" s="7">
        <f t="shared" si="5"/>
        <v>2.5</v>
      </c>
    </row>
    <row r="20" spans="1:5" s="5" customFormat="1" x14ac:dyDescent="0.25">
      <c r="A20" s="6" t="s">
        <v>38</v>
      </c>
      <c r="B20" s="9">
        <f>B17*B19</f>
        <v>312.5</v>
      </c>
      <c r="C20" s="9">
        <f t="shared" ref="C20:E20" si="6">C17*C19</f>
        <v>312.5</v>
      </c>
      <c r="D20" s="9">
        <f t="shared" si="6"/>
        <v>312.5</v>
      </c>
      <c r="E20" s="9">
        <f t="shared" si="6"/>
        <v>312.5</v>
      </c>
    </row>
    <row r="21" spans="1:5" s="5" customFormat="1" x14ac:dyDescent="0.25">
      <c r="A21" s="6" t="s">
        <v>4</v>
      </c>
      <c r="B21" s="9">
        <f>B18-B20</f>
        <v>1562.5</v>
      </c>
      <c r="C21" s="9">
        <f t="shared" ref="C21:E21" si="7">C18-C20</f>
        <v>1562.5</v>
      </c>
      <c r="D21" s="9">
        <f t="shared" si="7"/>
        <v>1562.5</v>
      </c>
      <c r="E21" s="9">
        <f t="shared" si="7"/>
        <v>1562.5</v>
      </c>
    </row>
    <row r="22" spans="1:5" s="5" customFormat="1" x14ac:dyDescent="0.25">
      <c r="A22" s="6" t="s">
        <v>37</v>
      </c>
      <c r="B22" s="8">
        <f>10%</f>
        <v>0.1</v>
      </c>
      <c r="C22" s="8">
        <f>10%</f>
        <v>0.1</v>
      </c>
      <c r="D22" s="8">
        <f>10%</f>
        <v>0.1</v>
      </c>
      <c r="E22" s="8">
        <f>10%</f>
        <v>0.1</v>
      </c>
    </row>
    <row r="23" spans="1:5" x14ac:dyDescent="0.25">
      <c r="A23" s="4" t="s">
        <v>33</v>
      </c>
      <c r="B23" s="2">
        <f>B22*B21</f>
        <v>156.25</v>
      </c>
      <c r="C23" s="2">
        <f t="shared" ref="C23:E23" si="8">C22*C21</f>
        <v>156.25</v>
      </c>
      <c r="D23" s="2">
        <f t="shared" si="8"/>
        <v>156.25</v>
      </c>
      <c r="E23" s="2">
        <f t="shared" si="8"/>
        <v>156.25</v>
      </c>
    </row>
    <row r="24" spans="1:5" s="5" customFormat="1" x14ac:dyDescent="0.25">
      <c r="A24" s="11" t="s">
        <v>36</v>
      </c>
      <c r="B24" s="11"/>
      <c r="C24" s="11"/>
      <c r="D24" s="11"/>
      <c r="E24" s="11"/>
    </row>
    <row r="25" spans="1:5" s="5" customFormat="1" x14ac:dyDescent="0.25">
      <c r="A25" s="6" t="s">
        <v>4</v>
      </c>
      <c r="B25" s="9">
        <v>3640</v>
      </c>
      <c r="C25" s="9">
        <v>3640</v>
      </c>
      <c r="D25" s="9">
        <v>3640</v>
      </c>
      <c r="E25" s="9">
        <v>3640</v>
      </c>
    </row>
    <row r="26" spans="1:5" s="5" customFormat="1" x14ac:dyDescent="0.25">
      <c r="A26" s="6" t="s">
        <v>37</v>
      </c>
      <c r="B26" s="8">
        <f>17.5%</f>
        <v>0.17499999999999999</v>
      </c>
      <c r="C26" s="8">
        <f t="shared" ref="C26:E26" si="9">17.5%</f>
        <v>0.17499999999999999</v>
      </c>
      <c r="D26" s="8">
        <f t="shared" si="9"/>
        <v>0.17499999999999999</v>
      </c>
      <c r="E26" s="8">
        <f t="shared" si="9"/>
        <v>0.17499999999999999</v>
      </c>
    </row>
    <row r="27" spans="1:5" x14ac:dyDescent="0.25">
      <c r="A27" s="4" t="s">
        <v>33</v>
      </c>
      <c r="B27">
        <f>B26*B25</f>
        <v>637</v>
      </c>
      <c r="C27">
        <f t="shared" ref="C27:E27" si="10">C26*C25</f>
        <v>637</v>
      </c>
      <c r="D27">
        <f t="shared" si="10"/>
        <v>637</v>
      </c>
      <c r="E27">
        <f t="shared" si="10"/>
        <v>637</v>
      </c>
    </row>
    <row r="28" spans="1:5" x14ac:dyDescent="0.25">
      <c r="A28" s="4" t="s">
        <v>40</v>
      </c>
      <c r="B28" s="2">
        <f>B14+B23+B27</f>
        <v>1905.25</v>
      </c>
      <c r="C28" s="2">
        <f>C14+C23+C27</f>
        <v>2954.25</v>
      </c>
      <c r="D28" s="2">
        <f>D14+D23+D27</f>
        <v>4003.25</v>
      </c>
      <c r="E28" s="2">
        <f>E14+E23+E27</f>
        <v>5052.25</v>
      </c>
    </row>
    <row r="29" spans="1:5" x14ac:dyDescent="0.25">
      <c r="A29" t="s">
        <v>5</v>
      </c>
      <c r="B29" s="2">
        <f>759209905/1000000</f>
        <v>759.20990500000005</v>
      </c>
      <c r="C29" s="2">
        <f t="shared" ref="C29:E29" si="11">759209905/1000000</f>
        <v>759.20990500000005</v>
      </c>
      <c r="D29" s="2">
        <f t="shared" si="11"/>
        <v>759.20990500000005</v>
      </c>
      <c r="E29" s="2">
        <f t="shared" si="11"/>
        <v>759.20990500000005</v>
      </c>
    </row>
    <row r="30" spans="1:5" x14ac:dyDescent="0.25">
      <c r="A30" t="s">
        <v>23</v>
      </c>
      <c r="B30" s="2">
        <f>523240603/1000000</f>
        <v>523.24060299999996</v>
      </c>
      <c r="C30" s="2">
        <f t="shared" ref="C30:E30" si="12">523240603/1000000</f>
        <v>523.24060299999996</v>
      </c>
      <c r="D30" s="2">
        <f t="shared" si="12"/>
        <v>523.24060299999996</v>
      </c>
      <c r="E30" s="2">
        <f t="shared" si="12"/>
        <v>523.24060299999996</v>
      </c>
    </row>
    <row r="31" spans="1:5" x14ac:dyDescent="0.25">
      <c r="A31" s="4" t="s">
        <v>6</v>
      </c>
      <c r="B31" s="2">
        <f>B29-B30</f>
        <v>235.96930200000008</v>
      </c>
      <c r="C31" s="2">
        <f t="shared" ref="C31:E31" si="13">C29-C30</f>
        <v>235.96930200000008</v>
      </c>
      <c r="D31" s="2">
        <f t="shared" si="13"/>
        <v>235.96930200000008</v>
      </c>
      <c r="E31" s="2">
        <f t="shared" si="13"/>
        <v>235.96930200000008</v>
      </c>
    </row>
    <row r="32" spans="1:5" x14ac:dyDescent="0.25">
      <c r="A32" t="s">
        <v>7</v>
      </c>
      <c r="B32" s="1">
        <f>B28/B31</f>
        <v>8.0741434748152088</v>
      </c>
      <c r="C32" s="1">
        <f t="shared" ref="C32:E32" si="14">C28/C31</f>
        <v>12.519636982271528</v>
      </c>
      <c r="D32" s="1">
        <f t="shared" si="14"/>
        <v>16.965130489727848</v>
      </c>
      <c r="E32" s="1">
        <f t="shared" si="14"/>
        <v>21.410623997184167</v>
      </c>
    </row>
    <row r="33" spans="1:5" x14ac:dyDescent="0.25">
      <c r="A33" s="4" t="s">
        <v>10</v>
      </c>
      <c r="B33">
        <f>1.18</f>
        <v>1.18</v>
      </c>
      <c r="C33">
        <f t="shared" ref="C33:E33" si="15">1.18</f>
        <v>1.18</v>
      </c>
      <c r="D33">
        <f t="shared" si="15"/>
        <v>1.18</v>
      </c>
      <c r="E33">
        <f t="shared" si="15"/>
        <v>1.18</v>
      </c>
    </row>
    <row r="34" spans="1:5" x14ac:dyDescent="0.25">
      <c r="A34" t="s">
        <v>8</v>
      </c>
      <c r="B34" s="1">
        <f>B32/B33</f>
        <v>6.8424944701823804</v>
      </c>
      <c r="C34" s="1">
        <f t="shared" ref="C34:E34" si="16">C32/C33</f>
        <v>10.609861849382652</v>
      </c>
      <c r="D34" s="1">
        <f t="shared" si="16"/>
        <v>14.377229228582923</v>
      </c>
      <c r="E34" s="1">
        <f t="shared" si="16"/>
        <v>18.144596607783193</v>
      </c>
    </row>
    <row r="35" spans="1:5" x14ac:dyDescent="0.25">
      <c r="A35" t="s">
        <v>11</v>
      </c>
      <c r="B35">
        <f>1.57</f>
        <v>1.57</v>
      </c>
      <c r="C35">
        <f t="shared" ref="C35:E35" si="17">1.57</f>
        <v>1.57</v>
      </c>
      <c r="D35">
        <f t="shared" si="17"/>
        <v>1.57</v>
      </c>
      <c r="E35">
        <f t="shared" si="17"/>
        <v>1.57</v>
      </c>
    </row>
    <row r="36" spans="1:5" x14ac:dyDescent="0.25">
      <c r="A36" t="s">
        <v>22</v>
      </c>
      <c r="B36" s="1">
        <f>B34+B35</f>
        <v>8.4124944701823807</v>
      </c>
      <c r="C36" s="1">
        <f t="shared" ref="C36:E36" si="18">C34+C35</f>
        <v>12.179861849382652</v>
      </c>
      <c r="D36" s="1">
        <f t="shared" si="18"/>
        <v>15.947229228582923</v>
      </c>
      <c r="E36" s="1">
        <f t="shared" si="18"/>
        <v>19.714596607783193</v>
      </c>
    </row>
    <row r="37" spans="1:5" x14ac:dyDescent="0.25">
      <c r="A37" s="4" t="s">
        <v>20</v>
      </c>
      <c r="B37" s="2">
        <f>B36*100</f>
        <v>841.24944701823802</v>
      </c>
      <c r="C37" s="2">
        <f t="shared" ref="C37:E37" si="19">C36*100</f>
        <v>1217.9861849382653</v>
      </c>
      <c r="D37" s="2">
        <f t="shared" si="19"/>
        <v>1594.7229228582923</v>
      </c>
      <c r="E37" s="2">
        <f t="shared" si="19"/>
        <v>1971.4596607783192</v>
      </c>
    </row>
    <row r="38" spans="1:5" x14ac:dyDescent="0.25">
      <c r="A38" s="4" t="s">
        <v>15</v>
      </c>
      <c r="B38">
        <v>595</v>
      </c>
      <c r="C38">
        <v>595</v>
      </c>
      <c r="D38">
        <v>595</v>
      </c>
      <c r="E38">
        <v>595</v>
      </c>
    </row>
    <row r="39" spans="1:5" x14ac:dyDescent="0.25">
      <c r="A39" s="4" t="s">
        <v>16</v>
      </c>
      <c r="B39" s="3">
        <f>B37/B38-1</f>
        <v>0.41386461683737474</v>
      </c>
      <c r="C39" s="3">
        <f t="shared" ref="C39:E39" si="20">C37/C38-1</f>
        <v>1.047035604938261</v>
      </c>
      <c r="D39" s="3">
        <f t="shared" si="20"/>
        <v>1.6802065930391468</v>
      </c>
      <c r="E39" s="3">
        <f t="shared" si="20"/>
        <v>2.3133775811400321</v>
      </c>
    </row>
  </sheetData>
  <mergeCells count="3">
    <mergeCell ref="A1:E1"/>
    <mergeCell ref="A15:E15"/>
    <mergeCell ref="A24:E2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24D3-67F3-44FC-BBD6-2F7B18D9A166}">
  <dimension ref="A1:E40"/>
  <sheetViews>
    <sheetView topLeftCell="A7" workbookViewId="0">
      <selection activeCell="B5" sqref="B5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17</v>
      </c>
      <c r="B4">
        <v>230</v>
      </c>
      <c r="C4">
        <v>230</v>
      </c>
      <c r="D4">
        <v>230</v>
      </c>
      <c r="E4">
        <v>230</v>
      </c>
    </row>
    <row r="5" spans="1:5" x14ac:dyDescent="0.25">
      <c r="A5" t="s">
        <v>28</v>
      </c>
      <c r="B5">
        <f>47</f>
        <v>47</v>
      </c>
      <c r="C5">
        <f>47</f>
        <v>47</v>
      </c>
      <c r="D5">
        <f>47</f>
        <v>47</v>
      </c>
      <c r="E5">
        <f>47</f>
        <v>47</v>
      </c>
    </row>
    <row r="6" spans="1:5" x14ac:dyDescent="0.25">
      <c r="A6" t="s">
        <v>29</v>
      </c>
      <c r="B6">
        <f>140</f>
        <v>140</v>
      </c>
      <c r="C6">
        <f>140</f>
        <v>140</v>
      </c>
      <c r="D6">
        <f>140</f>
        <v>140</v>
      </c>
      <c r="E6">
        <f>140</f>
        <v>140</v>
      </c>
    </row>
    <row r="7" spans="1:5" x14ac:dyDescent="0.25">
      <c r="A7" s="4" t="s">
        <v>14</v>
      </c>
      <c r="B7">
        <f>B3+B4-B5-B6</f>
        <v>1279</v>
      </c>
      <c r="C7">
        <f t="shared" ref="C7:E7" si="0">C3+C4-C5-C6</f>
        <v>1279</v>
      </c>
      <c r="D7">
        <f t="shared" si="0"/>
        <v>1279</v>
      </c>
      <c r="E7">
        <f t="shared" si="0"/>
        <v>1279</v>
      </c>
    </row>
    <row r="8" spans="1:5" x14ac:dyDescent="0.25">
      <c r="A8" s="4" t="s">
        <v>2</v>
      </c>
      <c r="B8">
        <f>B7*B2</f>
        <v>5116</v>
      </c>
      <c r="C8">
        <f t="shared" ref="C8:E8" si="1">C7*C2</f>
        <v>6395</v>
      </c>
      <c r="D8">
        <f t="shared" si="1"/>
        <v>7674</v>
      </c>
      <c r="E8">
        <f t="shared" si="1"/>
        <v>8953</v>
      </c>
    </row>
    <row r="9" spans="1:5" x14ac:dyDescent="0.25">
      <c r="A9" s="4" t="s">
        <v>42</v>
      </c>
      <c r="B9" s="2">
        <f>3.1*B7</f>
        <v>3964.9</v>
      </c>
      <c r="C9" s="2">
        <f t="shared" ref="C9:E9" si="2">3.1*C7</f>
        <v>3964.9</v>
      </c>
      <c r="D9" s="2">
        <f t="shared" si="2"/>
        <v>3964.9</v>
      </c>
      <c r="E9" s="2">
        <f t="shared" si="2"/>
        <v>3964.9</v>
      </c>
    </row>
    <row r="10" spans="1:5" x14ac:dyDescent="0.25">
      <c r="A10" t="s">
        <v>3</v>
      </c>
      <c r="B10">
        <v>3617</v>
      </c>
      <c r="C10">
        <v>3617</v>
      </c>
      <c r="D10">
        <v>3617</v>
      </c>
      <c r="E10">
        <v>3617</v>
      </c>
    </row>
    <row r="11" spans="1:5" x14ac:dyDescent="0.25">
      <c r="A11" t="s">
        <v>25</v>
      </c>
      <c r="B11">
        <f>538</f>
        <v>538</v>
      </c>
      <c r="C11">
        <f>538</f>
        <v>538</v>
      </c>
      <c r="D11">
        <f>538</f>
        <v>538</v>
      </c>
      <c r="E11">
        <f>538</f>
        <v>538</v>
      </c>
    </row>
    <row r="12" spans="1:5" x14ac:dyDescent="0.25">
      <c r="A12" t="s">
        <v>26</v>
      </c>
      <c r="B12">
        <v>1400</v>
      </c>
      <c r="C12">
        <v>1400</v>
      </c>
      <c r="D12">
        <v>1400</v>
      </c>
      <c r="E12">
        <v>1400</v>
      </c>
    </row>
    <row r="13" spans="1:5" x14ac:dyDescent="0.25">
      <c r="A13" t="s">
        <v>9</v>
      </c>
      <c r="B13">
        <f>1405</f>
        <v>1405</v>
      </c>
      <c r="C13">
        <f>1405</f>
        <v>1405</v>
      </c>
      <c r="D13">
        <f>1405</f>
        <v>1405</v>
      </c>
      <c r="E13">
        <f>1405</f>
        <v>1405</v>
      </c>
    </row>
    <row r="14" spans="1:5" s="4" customFormat="1" x14ac:dyDescent="0.25">
      <c r="A14" s="4" t="s">
        <v>18</v>
      </c>
      <c r="B14">
        <f>B10-B11-B12+B13</f>
        <v>3084</v>
      </c>
      <c r="C14">
        <f t="shared" ref="C14:E14" si="3">C10-C11-C12+C13</f>
        <v>3084</v>
      </c>
      <c r="D14">
        <f t="shared" si="3"/>
        <v>3084</v>
      </c>
      <c r="E14">
        <f t="shared" si="3"/>
        <v>3084</v>
      </c>
    </row>
    <row r="15" spans="1:5" x14ac:dyDescent="0.25">
      <c r="A15" s="4" t="s">
        <v>30</v>
      </c>
      <c r="B15">
        <f>B8-B14</f>
        <v>2032</v>
      </c>
      <c r="C15">
        <f>C8-C14</f>
        <v>3311</v>
      </c>
      <c r="D15">
        <f>D8-D14</f>
        <v>4590</v>
      </c>
      <c r="E15">
        <f>E8-E14</f>
        <v>5869</v>
      </c>
    </row>
    <row r="16" spans="1:5" s="5" customFormat="1" x14ac:dyDescent="0.25">
      <c r="A16" s="11" t="s">
        <v>35</v>
      </c>
      <c r="B16" s="11"/>
      <c r="C16" s="11"/>
      <c r="D16" s="11"/>
      <c r="E16" s="11"/>
    </row>
    <row r="17" spans="1:5" s="5" customFormat="1" x14ac:dyDescent="0.25">
      <c r="A17" s="6" t="s">
        <v>31</v>
      </c>
      <c r="B17" s="7">
        <v>15</v>
      </c>
      <c r="C17" s="7">
        <v>15</v>
      </c>
      <c r="D17" s="7">
        <v>15</v>
      </c>
      <c r="E17" s="7">
        <v>15</v>
      </c>
    </row>
    <row r="18" spans="1:5" s="5" customFormat="1" x14ac:dyDescent="0.25">
      <c r="A18" s="6" t="s">
        <v>32</v>
      </c>
      <c r="B18" s="7">
        <v>125</v>
      </c>
      <c r="C18" s="7">
        <v>125</v>
      </c>
      <c r="D18" s="7">
        <v>125</v>
      </c>
      <c r="E18" s="7">
        <v>125</v>
      </c>
    </row>
    <row r="19" spans="1:5" s="5" customFormat="1" x14ac:dyDescent="0.25">
      <c r="A19" s="6" t="s">
        <v>2</v>
      </c>
      <c r="B19" s="7">
        <f>B17*B18</f>
        <v>1875</v>
      </c>
      <c r="C19" s="7">
        <f t="shared" ref="C19:E19" si="4">C17*C18</f>
        <v>1875</v>
      </c>
      <c r="D19" s="7">
        <f t="shared" si="4"/>
        <v>1875</v>
      </c>
      <c r="E19" s="7">
        <f t="shared" si="4"/>
        <v>1875</v>
      </c>
    </row>
    <row r="20" spans="1:5" s="5" customFormat="1" x14ac:dyDescent="0.25">
      <c r="A20" s="6" t="s">
        <v>39</v>
      </c>
      <c r="B20" s="7">
        <f>2.5</f>
        <v>2.5</v>
      </c>
      <c r="C20" s="7">
        <f t="shared" ref="C20:E20" si="5">2.5</f>
        <v>2.5</v>
      </c>
      <c r="D20" s="7">
        <f t="shared" si="5"/>
        <v>2.5</v>
      </c>
      <c r="E20" s="7">
        <f t="shared" si="5"/>
        <v>2.5</v>
      </c>
    </row>
    <row r="21" spans="1:5" s="5" customFormat="1" x14ac:dyDescent="0.25">
      <c r="A21" s="6" t="s">
        <v>38</v>
      </c>
      <c r="B21" s="9">
        <f>B18*B20</f>
        <v>312.5</v>
      </c>
      <c r="C21" s="9">
        <f t="shared" ref="C21:E21" si="6">C18*C20</f>
        <v>312.5</v>
      </c>
      <c r="D21" s="9">
        <f t="shared" si="6"/>
        <v>312.5</v>
      </c>
      <c r="E21" s="9">
        <f t="shared" si="6"/>
        <v>312.5</v>
      </c>
    </row>
    <row r="22" spans="1:5" s="5" customFormat="1" x14ac:dyDescent="0.25">
      <c r="A22" s="6" t="s">
        <v>4</v>
      </c>
      <c r="B22" s="9">
        <f>B19-B21</f>
        <v>1562.5</v>
      </c>
      <c r="C22" s="9">
        <f t="shared" ref="C22:E22" si="7">C19-C21</f>
        <v>1562.5</v>
      </c>
      <c r="D22" s="9">
        <f t="shared" si="7"/>
        <v>1562.5</v>
      </c>
      <c r="E22" s="9">
        <f t="shared" si="7"/>
        <v>1562.5</v>
      </c>
    </row>
    <row r="23" spans="1:5" s="5" customFormat="1" x14ac:dyDescent="0.25">
      <c r="A23" s="6" t="s">
        <v>37</v>
      </c>
      <c r="B23" s="8">
        <f>10%</f>
        <v>0.1</v>
      </c>
      <c r="C23" s="8">
        <f>10%</f>
        <v>0.1</v>
      </c>
      <c r="D23" s="8">
        <f>10%</f>
        <v>0.1</v>
      </c>
      <c r="E23" s="8">
        <f>10%</f>
        <v>0.1</v>
      </c>
    </row>
    <row r="24" spans="1:5" x14ac:dyDescent="0.25">
      <c r="A24" s="4" t="s">
        <v>33</v>
      </c>
      <c r="B24" s="2">
        <f>B23*B22</f>
        <v>156.25</v>
      </c>
      <c r="C24" s="2">
        <f t="shared" ref="C24:E24" si="8">C23*C22</f>
        <v>156.25</v>
      </c>
      <c r="D24" s="2">
        <f t="shared" si="8"/>
        <v>156.25</v>
      </c>
      <c r="E24" s="2">
        <f t="shared" si="8"/>
        <v>156.25</v>
      </c>
    </row>
    <row r="25" spans="1:5" s="5" customFormat="1" x14ac:dyDescent="0.25">
      <c r="A25" s="11" t="s">
        <v>36</v>
      </c>
      <c r="B25" s="11"/>
      <c r="C25" s="11"/>
      <c r="D25" s="11"/>
      <c r="E25" s="11"/>
    </row>
    <row r="26" spans="1:5" s="5" customFormat="1" x14ac:dyDescent="0.25">
      <c r="A26" s="6" t="s">
        <v>4</v>
      </c>
      <c r="B26" s="9">
        <v>3640</v>
      </c>
      <c r="C26" s="9">
        <v>3640</v>
      </c>
      <c r="D26" s="9">
        <v>3640</v>
      </c>
      <c r="E26" s="9">
        <v>3640</v>
      </c>
    </row>
    <row r="27" spans="1:5" s="5" customFormat="1" x14ac:dyDescent="0.25">
      <c r="A27" s="6" t="s">
        <v>37</v>
      </c>
      <c r="B27" s="8">
        <f>17.5%</f>
        <v>0.17499999999999999</v>
      </c>
      <c r="C27" s="8">
        <f t="shared" ref="C27:E27" si="9">17.5%</f>
        <v>0.17499999999999999</v>
      </c>
      <c r="D27" s="8">
        <f t="shared" si="9"/>
        <v>0.17499999999999999</v>
      </c>
      <c r="E27" s="8">
        <f t="shared" si="9"/>
        <v>0.17499999999999999</v>
      </c>
    </row>
    <row r="28" spans="1:5" x14ac:dyDescent="0.25">
      <c r="A28" s="4" t="s">
        <v>33</v>
      </c>
      <c r="B28">
        <f>B27*B26</f>
        <v>637</v>
      </c>
      <c r="C28">
        <f t="shared" ref="C28:E28" si="10">C27*C26</f>
        <v>637</v>
      </c>
      <c r="D28">
        <f t="shared" si="10"/>
        <v>637</v>
      </c>
      <c r="E28">
        <f t="shared" si="10"/>
        <v>637</v>
      </c>
    </row>
    <row r="29" spans="1:5" x14ac:dyDescent="0.25">
      <c r="A29" s="4" t="s">
        <v>40</v>
      </c>
      <c r="B29" s="2">
        <f>B15+B24+B28</f>
        <v>2825.25</v>
      </c>
      <c r="C29" s="2">
        <f>C15+C24+C28</f>
        <v>4104.25</v>
      </c>
      <c r="D29" s="2">
        <f>D15+D24+D28</f>
        <v>5383.25</v>
      </c>
      <c r="E29" s="2">
        <f>E15+E24+E28</f>
        <v>6662.25</v>
      </c>
    </row>
    <row r="30" spans="1:5" x14ac:dyDescent="0.25">
      <c r="A30" t="s">
        <v>5</v>
      </c>
      <c r="B30" s="2">
        <f>759209905/1000000</f>
        <v>759.20990500000005</v>
      </c>
      <c r="C30" s="2">
        <f t="shared" ref="C30:E30" si="11">759209905/1000000</f>
        <v>759.20990500000005</v>
      </c>
      <c r="D30" s="2">
        <f t="shared" si="11"/>
        <v>759.20990500000005</v>
      </c>
      <c r="E30" s="2">
        <f t="shared" si="11"/>
        <v>759.20990500000005</v>
      </c>
    </row>
    <row r="31" spans="1:5" x14ac:dyDescent="0.25">
      <c r="A31" t="s">
        <v>23</v>
      </c>
      <c r="B31" s="2">
        <f>523240603/1000000</f>
        <v>523.24060299999996</v>
      </c>
      <c r="C31" s="2">
        <f t="shared" ref="C31:E31" si="12">523240603/1000000</f>
        <v>523.24060299999996</v>
      </c>
      <c r="D31" s="2">
        <f t="shared" si="12"/>
        <v>523.24060299999996</v>
      </c>
      <c r="E31" s="2">
        <f t="shared" si="12"/>
        <v>523.24060299999996</v>
      </c>
    </row>
    <row r="32" spans="1:5" x14ac:dyDescent="0.25">
      <c r="A32" s="4" t="s">
        <v>6</v>
      </c>
      <c r="B32" s="2">
        <f>B30-B31</f>
        <v>235.96930200000008</v>
      </c>
      <c r="C32" s="2">
        <f t="shared" ref="C32:E32" si="13">C30-C31</f>
        <v>235.96930200000008</v>
      </c>
      <c r="D32" s="2">
        <f t="shared" si="13"/>
        <v>235.96930200000008</v>
      </c>
      <c r="E32" s="2">
        <f t="shared" si="13"/>
        <v>235.96930200000008</v>
      </c>
    </row>
    <row r="33" spans="1:5" x14ac:dyDescent="0.25">
      <c r="A33" t="s">
        <v>7</v>
      </c>
      <c r="B33" s="1">
        <f>B29/B32</f>
        <v>11.972955702517606</v>
      </c>
      <c r="C33" s="1">
        <f t="shared" ref="C33:E33" si="14">C29/C32</f>
        <v>17.393152266899524</v>
      </c>
      <c r="D33" s="1">
        <f t="shared" si="14"/>
        <v>22.813348831281445</v>
      </c>
      <c r="E33" s="1">
        <f t="shared" si="14"/>
        <v>28.233545395663363</v>
      </c>
    </row>
    <row r="34" spans="1:5" x14ac:dyDescent="0.25">
      <c r="A34" s="4" t="s">
        <v>10</v>
      </c>
      <c r="B34">
        <f>1.18</f>
        <v>1.18</v>
      </c>
      <c r="C34">
        <f t="shared" ref="C34:E34" si="15">1.18</f>
        <v>1.18</v>
      </c>
      <c r="D34">
        <f t="shared" si="15"/>
        <v>1.18</v>
      </c>
      <c r="E34">
        <f t="shared" si="15"/>
        <v>1.18</v>
      </c>
    </row>
    <row r="35" spans="1:5" x14ac:dyDescent="0.25">
      <c r="A35" t="s">
        <v>8</v>
      </c>
      <c r="B35" s="1">
        <f>B33/B34</f>
        <v>10.146572629252208</v>
      </c>
      <c r="C35" s="1">
        <f t="shared" ref="C35:E35" si="16">C33/C34</f>
        <v>14.739959548219936</v>
      </c>
      <c r="D35" s="1">
        <f t="shared" si="16"/>
        <v>19.333346467187667</v>
      </c>
      <c r="E35" s="1">
        <f t="shared" si="16"/>
        <v>23.926733386155394</v>
      </c>
    </row>
    <row r="36" spans="1:5" x14ac:dyDescent="0.25">
      <c r="A36" t="s">
        <v>11</v>
      </c>
      <c r="B36">
        <f>1.57</f>
        <v>1.57</v>
      </c>
      <c r="C36">
        <f t="shared" ref="C36:E36" si="17">1.57</f>
        <v>1.57</v>
      </c>
      <c r="D36">
        <f t="shared" si="17"/>
        <v>1.57</v>
      </c>
      <c r="E36">
        <f t="shared" si="17"/>
        <v>1.57</v>
      </c>
    </row>
    <row r="37" spans="1:5" x14ac:dyDescent="0.25">
      <c r="A37" t="s">
        <v>22</v>
      </c>
      <c r="B37" s="1">
        <f>B35+B36</f>
        <v>11.716572629252209</v>
      </c>
      <c r="C37" s="1">
        <f t="shared" ref="C37:E37" si="18">C35+C36</f>
        <v>16.309959548219936</v>
      </c>
      <c r="D37" s="1">
        <f t="shared" si="18"/>
        <v>20.903346467187667</v>
      </c>
      <c r="E37" s="1">
        <f t="shared" si="18"/>
        <v>25.496733386155395</v>
      </c>
    </row>
    <row r="38" spans="1:5" x14ac:dyDescent="0.25">
      <c r="A38" s="4" t="s">
        <v>20</v>
      </c>
      <c r="B38" s="2">
        <f>B37*100</f>
        <v>1171.6572629252209</v>
      </c>
      <c r="C38" s="2">
        <f t="shared" ref="C38:E38" si="19">C37*100</f>
        <v>1630.9959548219936</v>
      </c>
      <c r="D38" s="2">
        <f t="shared" si="19"/>
        <v>2090.3346467187666</v>
      </c>
      <c r="E38" s="2">
        <f t="shared" si="19"/>
        <v>2549.6733386155393</v>
      </c>
    </row>
    <row r="39" spans="1:5" x14ac:dyDescent="0.25">
      <c r="A39" s="4" t="s">
        <v>15</v>
      </c>
      <c r="B39">
        <v>595</v>
      </c>
      <c r="C39">
        <v>595</v>
      </c>
      <c r="D39">
        <v>595</v>
      </c>
      <c r="E39">
        <v>595</v>
      </c>
    </row>
    <row r="40" spans="1:5" x14ac:dyDescent="0.25">
      <c r="A40" s="4" t="s">
        <v>16</v>
      </c>
      <c r="B40" s="3">
        <f>B38/B39-1</f>
        <v>0.96917187046255626</v>
      </c>
      <c r="C40" s="3">
        <f t="shared" ref="C40:E40" si="20">C38/C39-1</f>
        <v>1.7411696719697369</v>
      </c>
      <c r="D40" s="3">
        <f t="shared" si="20"/>
        <v>2.5131674734769187</v>
      </c>
      <c r="E40" s="3">
        <f t="shared" si="20"/>
        <v>3.2851652749840996</v>
      </c>
    </row>
  </sheetData>
  <mergeCells count="3">
    <mergeCell ref="A1:E1"/>
    <mergeCell ref="A16:E16"/>
    <mergeCell ref="A25:E2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66883-82BB-4118-B928-54EC8BE46093}">
  <dimension ref="A1:E36"/>
  <sheetViews>
    <sheetView topLeftCell="A4" workbookViewId="0">
      <selection activeCell="B10" sqref="B10:E10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28</v>
      </c>
      <c r="B4">
        <f>47</f>
        <v>47</v>
      </c>
      <c r="C4">
        <f>47</f>
        <v>47</v>
      </c>
      <c r="D4">
        <f>47</f>
        <v>47</v>
      </c>
      <c r="E4">
        <f>47</f>
        <v>47</v>
      </c>
    </row>
    <row r="5" spans="1:5" x14ac:dyDescent="0.25">
      <c r="A5" t="s">
        <v>29</v>
      </c>
      <c r="B5">
        <f>140</f>
        <v>140</v>
      </c>
      <c r="C5">
        <f>140</f>
        <v>140</v>
      </c>
      <c r="D5">
        <f>140</f>
        <v>140</v>
      </c>
      <c r="E5">
        <f>140</f>
        <v>140</v>
      </c>
    </row>
    <row r="6" spans="1:5" x14ac:dyDescent="0.25">
      <c r="A6" s="4" t="s">
        <v>14</v>
      </c>
      <c r="B6">
        <f>B3-B4-B5</f>
        <v>1049</v>
      </c>
      <c r="C6">
        <f t="shared" ref="C6:E6" si="0">C3-C4-C5</f>
        <v>1049</v>
      </c>
      <c r="D6">
        <f t="shared" si="0"/>
        <v>1049</v>
      </c>
      <c r="E6">
        <f t="shared" si="0"/>
        <v>1049</v>
      </c>
    </row>
    <row r="7" spans="1:5" x14ac:dyDescent="0.25">
      <c r="A7" s="4" t="s">
        <v>2</v>
      </c>
      <c r="B7">
        <f>B6*B2</f>
        <v>4196</v>
      </c>
      <c r="C7">
        <f t="shared" ref="C7:E7" si="1">C6*C2</f>
        <v>5245</v>
      </c>
      <c r="D7">
        <f t="shared" si="1"/>
        <v>6294</v>
      </c>
      <c r="E7">
        <f t="shared" si="1"/>
        <v>7343</v>
      </c>
    </row>
    <row r="8" spans="1:5" x14ac:dyDescent="0.25">
      <c r="A8" s="4" t="s">
        <v>42</v>
      </c>
      <c r="B8" s="2">
        <f>3.1*B6</f>
        <v>3251.9</v>
      </c>
      <c r="C8" s="2">
        <f t="shared" ref="C8:E8" si="2">3.1*C6</f>
        <v>3251.9</v>
      </c>
      <c r="D8" s="2">
        <f t="shared" si="2"/>
        <v>3251.9</v>
      </c>
      <c r="E8" s="2">
        <f t="shared" si="2"/>
        <v>3251.9</v>
      </c>
    </row>
    <row r="9" spans="1:5" x14ac:dyDescent="0.25">
      <c r="A9" t="s">
        <v>3</v>
      </c>
      <c r="B9">
        <v>3617</v>
      </c>
      <c r="C9">
        <v>3617</v>
      </c>
      <c r="D9">
        <v>3617</v>
      </c>
      <c r="E9">
        <v>3617</v>
      </c>
    </row>
    <row r="10" spans="1:5" x14ac:dyDescent="0.25">
      <c r="A10" t="s">
        <v>25</v>
      </c>
      <c r="B10">
        <f>400</f>
        <v>400</v>
      </c>
      <c r="C10">
        <f>400</f>
        <v>400</v>
      </c>
      <c r="D10">
        <f>400</f>
        <v>400</v>
      </c>
      <c r="E10">
        <f>400</f>
        <v>400</v>
      </c>
    </row>
    <row r="11" spans="1:5" x14ac:dyDescent="0.25">
      <c r="A11" t="s">
        <v>26</v>
      </c>
      <c r="B11">
        <v>1400</v>
      </c>
      <c r="C11">
        <v>1400</v>
      </c>
      <c r="D11">
        <v>1400</v>
      </c>
      <c r="E11">
        <v>1400</v>
      </c>
    </row>
    <row r="12" spans="1:5" x14ac:dyDescent="0.25">
      <c r="A12" t="s">
        <v>9</v>
      </c>
      <c r="B12">
        <f>1405</f>
        <v>1405</v>
      </c>
      <c r="C12">
        <f>1405</f>
        <v>1405</v>
      </c>
      <c r="D12">
        <f>1405</f>
        <v>1405</v>
      </c>
      <c r="E12">
        <f>1405</f>
        <v>1405</v>
      </c>
    </row>
    <row r="13" spans="1:5" s="4" customFormat="1" x14ac:dyDescent="0.25">
      <c r="A13" s="4" t="s">
        <v>18</v>
      </c>
      <c r="B13">
        <f>B9-B10-B11+B12</f>
        <v>3222</v>
      </c>
      <c r="C13">
        <f t="shared" ref="C13:E13" si="3">C9-C10-C11+C12</f>
        <v>3222</v>
      </c>
      <c r="D13">
        <f t="shared" si="3"/>
        <v>3222</v>
      </c>
      <c r="E13">
        <f t="shared" si="3"/>
        <v>3222</v>
      </c>
    </row>
    <row r="14" spans="1:5" x14ac:dyDescent="0.25">
      <c r="A14" s="4" t="s">
        <v>30</v>
      </c>
      <c r="B14">
        <f>B7-B13</f>
        <v>974</v>
      </c>
      <c r="C14">
        <f>C7-C13</f>
        <v>2023</v>
      </c>
      <c r="D14">
        <f>D7-D13</f>
        <v>3072</v>
      </c>
      <c r="E14">
        <f>E7-E13</f>
        <v>4121</v>
      </c>
    </row>
    <row r="15" spans="1:5" s="5" customFormat="1" x14ac:dyDescent="0.25">
      <c r="A15" s="11" t="s">
        <v>35</v>
      </c>
      <c r="B15" s="11"/>
      <c r="C15" s="11"/>
      <c r="D15" s="11"/>
      <c r="E15" s="11"/>
    </row>
    <row r="16" spans="1:5" s="5" customFormat="1" x14ac:dyDescent="0.25">
      <c r="A16" s="6" t="s">
        <v>2</v>
      </c>
      <c r="B16" s="7">
        <v>1250</v>
      </c>
      <c r="C16" s="7">
        <v>1250</v>
      </c>
      <c r="D16" s="7">
        <v>1250</v>
      </c>
      <c r="E16" s="7">
        <v>1250</v>
      </c>
    </row>
    <row r="17" spans="1:5" s="5" customFormat="1" x14ac:dyDescent="0.25">
      <c r="A17" s="6" t="s">
        <v>38</v>
      </c>
      <c r="B17" s="9">
        <v>0</v>
      </c>
      <c r="C17" s="9">
        <v>0</v>
      </c>
      <c r="D17" s="9">
        <v>0</v>
      </c>
      <c r="E17" s="9">
        <v>0</v>
      </c>
    </row>
    <row r="18" spans="1:5" s="5" customFormat="1" x14ac:dyDescent="0.25">
      <c r="A18" s="6" t="s">
        <v>4</v>
      </c>
      <c r="B18" s="9">
        <f>B16-B17</f>
        <v>1250</v>
      </c>
      <c r="C18" s="9">
        <f t="shared" ref="C18:E18" si="4">C16-C17</f>
        <v>1250</v>
      </c>
      <c r="D18" s="9">
        <f t="shared" si="4"/>
        <v>1250</v>
      </c>
      <c r="E18" s="9">
        <f t="shared" si="4"/>
        <v>1250</v>
      </c>
    </row>
    <row r="19" spans="1:5" s="5" customFormat="1" x14ac:dyDescent="0.25">
      <c r="A19" s="6" t="s">
        <v>37</v>
      </c>
      <c r="B19" s="8">
        <f>0.05</f>
        <v>0.05</v>
      </c>
      <c r="C19" s="8">
        <f t="shared" ref="C19:E19" si="5">0.05</f>
        <v>0.05</v>
      </c>
      <c r="D19" s="8">
        <f t="shared" si="5"/>
        <v>0.05</v>
      </c>
      <c r="E19" s="8">
        <f t="shared" si="5"/>
        <v>0.05</v>
      </c>
    </row>
    <row r="20" spans="1:5" x14ac:dyDescent="0.25">
      <c r="A20" s="4" t="s">
        <v>33</v>
      </c>
      <c r="B20" s="2">
        <f>B19*B18</f>
        <v>62.5</v>
      </c>
      <c r="C20" s="2">
        <f t="shared" ref="C20:E20" si="6">C19*C18</f>
        <v>62.5</v>
      </c>
      <c r="D20" s="2">
        <f t="shared" si="6"/>
        <v>62.5</v>
      </c>
      <c r="E20" s="2">
        <f t="shared" si="6"/>
        <v>62.5</v>
      </c>
    </row>
    <row r="21" spans="1:5" s="5" customFormat="1" x14ac:dyDescent="0.25">
      <c r="A21" s="11" t="s">
        <v>36</v>
      </c>
      <c r="B21" s="11"/>
      <c r="C21" s="11"/>
      <c r="D21" s="11"/>
      <c r="E21" s="11"/>
    </row>
    <row r="22" spans="1:5" s="5" customFormat="1" x14ac:dyDescent="0.25">
      <c r="A22" s="6" t="s">
        <v>4</v>
      </c>
      <c r="B22" s="9">
        <v>3640</v>
      </c>
      <c r="C22" s="9">
        <v>3640</v>
      </c>
      <c r="D22" s="9">
        <v>3640</v>
      </c>
      <c r="E22" s="9">
        <v>3640</v>
      </c>
    </row>
    <row r="23" spans="1:5" s="5" customFormat="1" x14ac:dyDescent="0.25">
      <c r="A23" s="6" t="s">
        <v>37</v>
      </c>
      <c r="B23" s="8">
        <f>17.5%</f>
        <v>0.17499999999999999</v>
      </c>
      <c r="C23" s="8">
        <f t="shared" ref="C23:E23" si="7">17.5%</f>
        <v>0.17499999999999999</v>
      </c>
      <c r="D23" s="8">
        <f t="shared" si="7"/>
        <v>0.17499999999999999</v>
      </c>
      <c r="E23" s="8">
        <f t="shared" si="7"/>
        <v>0.17499999999999999</v>
      </c>
    </row>
    <row r="24" spans="1:5" x14ac:dyDescent="0.25">
      <c r="A24" s="4" t="s">
        <v>33</v>
      </c>
      <c r="B24">
        <f>B23*B22</f>
        <v>637</v>
      </c>
      <c r="C24">
        <f t="shared" ref="C24:E24" si="8">C23*C22</f>
        <v>637</v>
      </c>
      <c r="D24">
        <f t="shared" si="8"/>
        <v>637</v>
      </c>
      <c r="E24">
        <f t="shared" si="8"/>
        <v>637</v>
      </c>
    </row>
    <row r="25" spans="1:5" x14ac:dyDescent="0.25">
      <c r="A25" s="4" t="s">
        <v>40</v>
      </c>
      <c r="B25" s="2">
        <f>B14+B20+B24</f>
        <v>1673.5</v>
      </c>
      <c r="C25" s="2">
        <f>C14+C20+C24</f>
        <v>2722.5</v>
      </c>
      <c r="D25" s="2">
        <f>D14+D20+D24</f>
        <v>3771.5</v>
      </c>
      <c r="E25" s="2">
        <f>E14+E20+E24</f>
        <v>4820.5</v>
      </c>
    </row>
    <row r="26" spans="1:5" x14ac:dyDescent="0.25">
      <c r="A26" t="s">
        <v>5</v>
      </c>
      <c r="B26" s="2">
        <f>759209905/1000000</f>
        <v>759.20990500000005</v>
      </c>
      <c r="C26" s="2">
        <f t="shared" ref="C26:E26" si="9">759209905/1000000</f>
        <v>759.20990500000005</v>
      </c>
      <c r="D26" s="2">
        <f t="shared" si="9"/>
        <v>759.20990500000005</v>
      </c>
      <c r="E26" s="2">
        <f t="shared" si="9"/>
        <v>759.20990500000005</v>
      </c>
    </row>
    <row r="27" spans="1:5" x14ac:dyDescent="0.25">
      <c r="A27" t="s">
        <v>23</v>
      </c>
      <c r="B27" s="2">
        <f>523240603/1000000</f>
        <v>523.24060299999996</v>
      </c>
      <c r="C27" s="2">
        <f t="shared" ref="C27:E27" si="10">523240603/1000000</f>
        <v>523.24060299999996</v>
      </c>
      <c r="D27" s="2">
        <f t="shared" si="10"/>
        <v>523.24060299999996</v>
      </c>
      <c r="E27" s="2">
        <f t="shared" si="10"/>
        <v>523.24060299999996</v>
      </c>
    </row>
    <row r="28" spans="1:5" x14ac:dyDescent="0.25">
      <c r="A28" s="4" t="s">
        <v>6</v>
      </c>
      <c r="B28" s="2">
        <f>B26-B27</f>
        <v>235.96930200000008</v>
      </c>
      <c r="C28" s="2">
        <f t="shared" ref="C28:E28" si="11">C26-C27</f>
        <v>235.96930200000008</v>
      </c>
      <c r="D28" s="2">
        <f t="shared" si="11"/>
        <v>235.96930200000008</v>
      </c>
      <c r="E28" s="2">
        <f t="shared" si="11"/>
        <v>235.96930200000008</v>
      </c>
    </row>
    <row r="29" spans="1:5" x14ac:dyDescent="0.25">
      <c r="A29" t="s">
        <v>7</v>
      </c>
      <c r="B29" s="1">
        <f>B25/B28</f>
        <v>7.0920241989782191</v>
      </c>
      <c r="C29" s="1">
        <f t="shared" ref="C29:E29" si="12">C25/C28</f>
        <v>11.537517706434539</v>
      </c>
      <c r="D29" s="1">
        <f t="shared" si="12"/>
        <v>15.983011213890858</v>
      </c>
      <c r="E29" s="1">
        <f t="shared" si="12"/>
        <v>20.428504721347178</v>
      </c>
    </row>
    <row r="30" spans="1:5" x14ac:dyDescent="0.25">
      <c r="A30" s="4" t="s">
        <v>10</v>
      </c>
      <c r="B30">
        <f>1.18</f>
        <v>1.18</v>
      </c>
      <c r="C30">
        <f t="shared" ref="C30:E30" si="13">1.18</f>
        <v>1.18</v>
      </c>
      <c r="D30">
        <f t="shared" si="13"/>
        <v>1.18</v>
      </c>
      <c r="E30">
        <f t="shared" si="13"/>
        <v>1.18</v>
      </c>
    </row>
    <row r="31" spans="1:5" x14ac:dyDescent="0.25">
      <c r="A31" t="s">
        <v>8</v>
      </c>
      <c r="B31" s="1">
        <f>B29/B30</f>
        <v>6.0101899991340844</v>
      </c>
      <c r="C31" s="1">
        <f t="shared" ref="C31:E31" si="14">C29/C30</f>
        <v>9.7775573783343557</v>
      </c>
      <c r="D31" s="1">
        <f t="shared" si="14"/>
        <v>13.544924757534627</v>
      </c>
      <c r="E31" s="1">
        <f t="shared" si="14"/>
        <v>17.312292136734897</v>
      </c>
    </row>
    <row r="32" spans="1:5" x14ac:dyDescent="0.25">
      <c r="A32" t="s">
        <v>11</v>
      </c>
      <c r="B32">
        <f>1.57</f>
        <v>1.57</v>
      </c>
      <c r="C32">
        <f t="shared" ref="C32:E32" si="15">1.57</f>
        <v>1.57</v>
      </c>
      <c r="D32">
        <f t="shared" si="15"/>
        <v>1.57</v>
      </c>
      <c r="E32">
        <f t="shared" si="15"/>
        <v>1.57</v>
      </c>
    </row>
    <row r="33" spans="1:5" x14ac:dyDescent="0.25">
      <c r="A33" t="s">
        <v>22</v>
      </c>
      <c r="B33" s="1">
        <f>B31+B32</f>
        <v>7.5801899991340846</v>
      </c>
      <c r="C33" s="1">
        <f t="shared" ref="C33:E33" si="16">C31+C32</f>
        <v>11.347557378334356</v>
      </c>
      <c r="D33" s="1">
        <f t="shared" si="16"/>
        <v>15.114924757534627</v>
      </c>
      <c r="E33" s="1">
        <f t="shared" si="16"/>
        <v>18.882292136734897</v>
      </c>
    </row>
    <row r="34" spans="1:5" x14ac:dyDescent="0.25">
      <c r="A34" s="4" t="s">
        <v>20</v>
      </c>
      <c r="B34" s="2">
        <f>B33*100</f>
        <v>758.01899991340849</v>
      </c>
      <c r="C34" s="2">
        <f t="shared" ref="C34:E34" si="17">C33*100</f>
        <v>1134.7557378334357</v>
      </c>
      <c r="D34" s="2">
        <f t="shared" si="17"/>
        <v>1511.4924757534627</v>
      </c>
      <c r="E34" s="2">
        <f t="shared" si="17"/>
        <v>1888.2292136734898</v>
      </c>
    </row>
    <row r="35" spans="1:5" x14ac:dyDescent="0.25">
      <c r="A35" s="4" t="s">
        <v>15</v>
      </c>
      <c r="B35">
        <v>595</v>
      </c>
      <c r="C35">
        <v>595</v>
      </c>
      <c r="D35">
        <v>595</v>
      </c>
      <c r="E35">
        <v>595</v>
      </c>
    </row>
    <row r="36" spans="1:5" x14ac:dyDescent="0.25">
      <c r="A36" s="4" t="s">
        <v>16</v>
      </c>
      <c r="B36" s="3">
        <f>B34/B35-1</f>
        <v>0.27398151245950997</v>
      </c>
      <c r="C36" s="3">
        <f t="shared" ref="C36:E36" si="18">C34/C35-1</f>
        <v>0.90715250056039598</v>
      </c>
      <c r="D36" s="3">
        <f t="shared" si="18"/>
        <v>1.540323488661282</v>
      </c>
      <c r="E36" s="3">
        <f t="shared" si="18"/>
        <v>2.1734944767621678</v>
      </c>
    </row>
  </sheetData>
  <mergeCells count="3">
    <mergeCell ref="A1:E1"/>
    <mergeCell ref="A15:E15"/>
    <mergeCell ref="A21:E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777CA-B562-420E-9376-E898EEA474C9}">
  <dimension ref="A1:E37"/>
  <sheetViews>
    <sheetView workbookViewId="0">
      <selection activeCell="B10" sqref="B10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17</v>
      </c>
      <c r="B4">
        <v>230</v>
      </c>
      <c r="C4">
        <v>230</v>
      </c>
      <c r="D4">
        <v>230</v>
      </c>
      <c r="E4">
        <v>230</v>
      </c>
    </row>
    <row r="5" spans="1:5" x14ac:dyDescent="0.25">
      <c r="A5" t="s">
        <v>28</v>
      </c>
      <c r="B5">
        <f>47</f>
        <v>47</v>
      </c>
      <c r="C5">
        <f>47</f>
        <v>47</v>
      </c>
      <c r="D5">
        <f>47</f>
        <v>47</v>
      </c>
      <c r="E5">
        <f>47</f>
        <v>47</v>
      </c>
    </row>
    <row r="6" spans="1:5" x14ac:dyDescent="0.25">
      <c r="A6" t="s">
        <v>29</v>
      </c>
      <c r="B6">
        <f>140</f>
        <v>140</v>
      </c>
      <c r="C6">
        <f>140</f>
        <v>140</v>
      </c>
      <c r="D6">
        <f>140</f>
        <v>140</v>
      </c>
      <c r="E6">
        <f>140</f>
        <v>140</v>
      </c>
    </row>
    <row r="7" spans="1:5" x14ac:dyDescent="0.25">
      <c r="A7" s="4" t="s">
        <v>14</v>
      </c>
      <c r="B7">
        <f>B3+B4-B5-B6</f>
        <v>1279</v>
      </c>
      <c r="C7">
        <f t="shared" ref="C7:E7" si="0">C3+C4-C5-C6</f>
        <v>1279</v>
      </c>
      <c r="D7">
        <f t="shared" si="0"/>
        <v>1279</v>
      </c>
      <c r="E7">
        <f t="shared" si="0"/>
        <v>1279</v>
      </c>
    </row>
    <row r="8" spans="1:5" x14ac:dyDescent="0.25">
      <c r="A8" s="4" t="s">
        <v>2</v>
      </c>
      <c r="B8">
        <f>B7*B2</f>
        <v>5116</v>
      </c>
      <c r="C8">
        <f t="shared" ref="C8:E8" si="1">C7*C2</f>
        <v>6395</v>
      </c>
      <c r="D8">
        <f t="shared" si="1"/>
        <v>7674</v>
      </c>
      <c r="E8">
        <f t="shared" si="1"/>
        <v>8953</v>
      </c>
    </row>
    <row r="9" spans="1:5" x14ac:dyDescent="0.25">
      <c r="A9" s="4" t="s">
        <v>42</v>
      </c>
      <c r="B9" s="2">
        <f>3.1*B7</f>
        <v>3964.9</v>
      </c>
      <c r="C9" s="2">
        <f t="shared" ref="C9:E9" si="2">3.1*C7</f>
        <v>3964.9</v>
      </c>
      <c r="D9" s="2">
        <f t="shared" si="2"/>
        <v>3964.9</v>
      </c>
      <c r="E9" s="2">
        <f t="shared" si="2"/>
        <v>3964.9</v>
      </c>
    </row>
    <row r="10" spans="1:5" x14ac:dyDescent="0.25">
      <c r="A10" t="s">
        <v>3</v>
      </c>
      <c r="B10">
        <v>3617</v>
      </c>
      <c r="C10">
        <v>3617</v>
      </c>
      <c r="D10">
        <v>3617</v>
      </c>
      <c r="E10">
        <v>3617</v>
      </c>
    </row>
    <row r="11" spans="1:5" x14ac:dyDescent="0.25">
      <c r="A11" t="s">
        <v>25</v>
      </c>
      <c r="B11">
        <f>400</f>
        <v>400</v>
      </c>
      <c r="C11">
        <f>400</f>
        <v>400</v>
      </c>
      <c r="D11">
        <f>400</f>
        <v>400</v>
      </c>
      <c r="E11">
        <f>400</f>
        <v>400</v>
      </c>
    </row>
    <row r="12" spans="1:5" x14ac:dyDescent="0.25">
      <c r="A12" t="s">
        <v>26</v>
      </c>
      <c r="B12">
        <v>1400</v>
      </c>
      <c r="C12">
        <v>1400</v>
      </c>
      <c r="D12">
        <v>1400</v>
      </c>
      <c r="E12">
        <v>1400</v>
      </c>
    </row>
    <row r="13" spans="1:5" x14ac:dyDescent="0.25">
      <c r="A13" t="s">
        <v>9</v>
      </c>
      <c r="B13">
        <f>1405</f>
        <v>1405</v>
      </c>
      <c r="C13">
        <f>1405</f>
        <v>1405</v>
      </c>
      <c r="D13">
        <f>1405</f>
        <v>1405</v>
      </c>
      <c r="E13">
        <f>1405</f>
        <v>1405</v>
      </c>
    </row>
    <row r="14" spans="1:5" s="4" customFormat="1" x14ac:dyDescent="0.25">
      <c r="A14" s="4" t="s">
        <v>18</v>
      </c>
      <c r="B14">
        <f>B10-B11-B12+B13</f>
        <v>3222</v>
      </c>
      <c r="C14">
        <f t="shared" ref="C14:E14" si="3">C10-C11-C12+C13</f>
        <v>3222</v>
      </c>
      <c r="D14">
        <f t="shared" si="3"/>
        <v>3222</v>
      </c>
      <c r="E14">
        <f t="shared" si="3"/>
        <v>3222</v>
      </c>
    </row>
    <row r="15" spans="1:5" x14ac:dyDescent="0.25">
      <c r="A15" s="4" t="s">
        <v>30</v>
      </c>
      <c r="B15">
        <f>B8-B14</f>
        <v>1894</v>
      </c>
      <c r="C15">
        <f>C8-C14</f>
        <v>3173</v>
      </c>
      <c r="D15">
        <f>D8-D14</f>
        <v>4452</v>
      </c>
      <c r="E15">
        <f>E8-E14</f>
        <v>5731</v>
      </c>
    </row>
    <row r="16" spans="1:5" s="5" customFormat="1" x14ac:dyDescent="0.25">
      <c r="A16" s="11" t="s">
        <v>35</v>
      </c>
      <c r="B16" s="11"/>
      <c r="C16" s="11"/>
      <c r="D16" s="11"/>
      <c r="E16" s="11"/>
    </row>
    <row r="17" spans="1:5" s="5" customFormat="1" x14ac:dyDescent="0.25">
      <c r="A17" s="6" t="s">
        <v>2</v>
      </c>
      <c r="B17" s="7">
        <v>1250</v>
      </c>
      <c r="C17" s="7">
        <v>1250</v>
      </c>
      <c r="D17" s="7">
        <v>1250</v>
      </c>
      <c r="E17" s="7">
        <v>1250</v>
      </c>
    </row>
    <row r="18" spans="1:5" s="5" customFormat="1" x14ac:dyDescent="0.25">
      <c r="A18" s="6" t="s">
        <v>38</v>
      </c>
      <c r="B18" s="9">
        <v>0</v>
      </c>
      <c r="C18" s="9">
        <v>0</v>
      </c>
      <c r="D18" s="9">
        <v>0</v>
      </c>
      <c r="E18" s="9">
        <v>0</v>
      </c>
    </row>
    <row r="19" spans="1:5" s="5" customFormat="1" x14ac:dyDescent="0.25">
      <c r="A19" s="6" t="s">
        <v>4</v>
      </c>
      <c r="B19" s="9">
        <f>B17-B18</f>
        <v>1250</v>
      </c>
      <c r="C19" s="9">
        <f>C17-C18</f>
        <v>1250</v>
      </c>
      <c r="D19" s="9">
        <f>D17-D18</f>
        <v>1250</v>
      </c>
      <c r="E19" s="9">
        <f>E17-E18</f>
        <v>1250</v>
      </c>
    </row>
    <row r="20" spans="1:5" s="5" customFormat="1" x14ac:dyDescent="0.25">
      <c r="A20" s="6" t="s">
        <v>37</v>
      </c>
      <c r="B20" s="8">
        <f>5%</f>
        <v>0.05</v>
      </c>
      <c r="C20" s="8">
        <f>5%</f>
        <v>0.05</v>
      </c>
      <c r="D20" s="8">
        <f>5%</f>
        <v>0.05</v>
      </c>
      <c r="E20" s="8">
        <f>5%</f>
        <v>0.05</v>
      </c>
    </row>
    <row r="21" spans="1:5" x14ac:dyDescent="0.25">
      <c r="A21" s="4" t="s">
        <v>33</v>
      </c>
      <c r="B21" s="2">
        <f>B20*B19</f>
        <v>62.5</v>
      </c>
      <c r="C21" s="2">
        <f t="shared" ref="C21:E21" si="4">C20*C19</f>
        <v>62.5</v>
      </c>
      <c r="D21" s="2">
        <f t="shared" si="4"/>
        <v>62.5</v>
      </c>
      <c r="E21" s="2">
        <f t="shared" si="4"/>
        <v>62.5</v>
      </c>
    </row>
    <row r="22" spans="1:5" s="5" customFormat="1" x14ac:dyDescent="0.25">
      <c r="A22" s="11" t="s">
        <v>36</v>
      </c>
      <c r="B22" s="11"/>
      <c r="C22" s="11"/>
      <c r="D22" s="11"/>
      <c r="E22" s="11"/>
    </row>
    <row r="23" spans="1:5" s="5" customFormat="1" x14ac:dyDescent="0.25">
      <c r="A23" s="6" t="s">
        <v>4</v>
      </c>
      <c r="B23" s="9">
        <v>3640</v>
      </c>
      <c r="C23" s="9">
        <v>3640</v>
      </c>
      <c r="D23" s="9">
        <v>3640</v>
      </c>
      <c r="E23" s="9">
        <v>3640</v>
      </c>
    </row>
    <row r="24" spans="1:5" s="5" customFormat="1" x14ac:dyDescent="0.25">
      <c r="A24" s="6" t="s">
        <v>37</v>
      </c>
      <c r="B24" s="8">
        <f>17.5%</f>
        <v>0.17499999999999999</v>
      </c>
      <c r="C24" s="8">
        <f t="shared" ref="C24:E24" si="5">17.5%</f>
        <v>0.17499999999999999</v>
      </c>
      <c r="D24" s="8">
        <f t="shared" si="5"/>
        <v>0.17499999999999999</v>
      </c>
      <c r="E24" s="8">
        <f t="shared" si="5"/>
        <v>0.17499999999999999</v>
      </c>
    </row>
    <row r="25" spans="1:5" x14ac:dyDescent="0.25">
      <c r="A25" s="4" t="s">
        <v>33</v>
      </c>
      <c r="B25">
        <f>B24*B23</f>
        <v>637</v>
      </c>
      <c r="C25">
        <f t="shared" ref="C25:E25" si="6">C24*C23</f>
        <v>637</v>
      </c>
      <c r="D25">
        <f t="shared" si="6"/>
        <v>637</v>
      </c>
      <c r="E25">
        <f t="shared" si="6"/>
        <v>637</v>
      </c>
    </row>
    <row r="26" spans="1:5" x14ac:dyDescent="0.25">
      <c r="A26" s="4" t="s">
        <v>40</v>
      </c>
      <c r="B26" s="2">
        <f>B15+B21+B25</f>
        <v>2593.5</v>
      </c>
      <c r="C26" s="2">
        <f>C15+C21+C25</f>
        <v>3872.5</v>
      </c>
      <c r="D26" s="2">
        <f>D15+D21+D25</f>
        <v>5151.5</v>
      </c>
      <c r="E26" s="2">
        <f>E15+E21+E25</f>
        <v>6430.5</v>
      </c>
    </row>
    <row r="27" spans="1:5" x14ac:dyDescent="0.25">
      <c r="A27" t="s">
        <v>5</v>
      </c>
      <c r="B27" s="2">
        <f>759209905/1000000</f>
        <v>759.20990500000005</v>
      </c>
      <c r="C27" s="2">
        <f t="shared" ref="C27:E27" si="7">759209905/1000000</f>
        <v>759.20990500000005</v>
      </c>
      <c r="D27" s="2">
        <f t="shared" si="7"/>
        <v>759.20990500000005</v>
      </c>
      <c r="E27" s="2">
        <f t="shared" si="7"/>
        <v>759.20990500000005</v>
      </c>
    </row>
    <row r="28" spans="1:5" x14ac:dyDescent="0.25">
      <c r="A28" t="s">
        <v>23</v>
      </c>
      <c r="B28" s="2">
        <f>523240603/1000000</f>
        <v>523.24060299999996</v>
      </c>
      <c r="C28" s="2">
        <f t="shared" ref="C28:E28" si="8">523240603/1000000</f>
        <v>523.24060299999996</v>
      </c>
      <c r="D28" s="2">
        <f t="shared" si="8"/>
        <v>523.24060299999996</v>
      </c>
      <c r="E28" s="2">
        <f t="shared" si="8"/>
        <v>523.24060299999996</v>
      </c>
    </row>
    <row r="29" spans="1:5" x14ac:dyDescent="0.25">
      <c r="A29" s="4" t="s">
        <v>6</v>
      </c>
      <c r="B29" s="2">
        <f>B27-B28</f>
        <v>235.96930200000008</v>
      </c>
      <c r="C29" s="2">
        <f t="shared" ref="C29:E29" si="9">C27-C28</f>
        <v>235.96930200000008</v>
      </c>
      <c r="D29" s="2">
        <f t="shared" si="9"/>
        <v>235.96930200000008</v>
      </c>
      <c r="E29" s="2">
        <f t="shared" si="9"/>
        <v>235.96930200000008</v>
      </c>
    </row>
    <row r="30" spans="1:5" x14ac:dyDescent="0.25">
      <c r="A30" t="s">
        <v>7</v>
      </c>
      <c r="B30" s="1">
        <f>B26/B29</f>
        <v>10.990836426680616</v>
      </c>
      <c r="C30" s="1">
        <f t="shared" ref="C30:E30" si="10">C26/C29</f>
        <v>16.411032991062534</v>
      </c>
      <c r="D30" s="1">
        <f t="shared" si="10"/>
        <v>21.831229555444455</v>
      </c>
      <c r="E30" s="1">
        <f t="shared" si="10"/>
        <v>27.251426119826373</v>
      </c>
    </row>
    <row r="31" spans="1:5" x14ac:dyDescent="0.25">
      <c r="A31" s="4" t="s">
        <v>10</v>
      </c>
      <c r="B31">
        <f>1.18</f>
        <v>1.18</v>
      </c>
      <c r="C31">
        <f t="shared" ref="C31:E31" si="11">1.18</f>
        <v>1.18</v>
      </c>
      <c r="D31">
        <f t="shared" si="11"/>
        <v>1.18</v>
      </c>
      <c r="E31">
        <f t="shared" si="11"/>
        <v>1.18</v>
      </c>
    </row>
    <row r="32" spans="1:5" x14ac:dyDescent="0.25">
      <c r="A32" t="s">
        <v>8</v>
      </c>
      <c r="B32" s="1">
        <f>B30/B31</f>
        <v>9.3142681582039124</v>
      </c>
      <c r="C32" s="1">
        <f t="shared" ref="C32:E32" si="12">C30/C31</f>
        <v>13.90765507717164</v>
      </c>
      <c r="D32" s="1">
        <f t="shared" si="12"/>
        <v>18.501041996139371</v>
      </c>
      <c r="E32" s="1">
        <f t="shared" si="12"/>
        <v>23.094428915107098</v>
      </c>
    </row>
    <row r="33" spans="1:5" x14ac:dyDescent="0.25">
      <c r="A33" t="s">
        <v>11</v>
      </c>
      <c r="B33">
        <f>1.57</f>
        <v>1.57</v>
      </c>
      <c r="C33">
        <f t="shared" ref="C33:E33" si="13">1.57</f>
        <v>1.57</v>
      </c>
      <c r="D33">
        <f t="shared" si="13"/>
        <v>1.57</v>
      </c>
      <c r="E33">
        <f t="shared" si="13"/>
        <v>1.57</v>
      </c>
    </row>
    <row r="34" spans="1:5" x14ac:dyDescent="0.25">
      <c r="A34" t="s">
        <v>22</v>
      </c>
      <c r="B34" s="1">
        <f>B32+B33</f>
        <v>10.884268158203913</v>
      </c>
      <c r="C34" s="1">
        <f t="shared" ref="C34:E34" si="14">C32+C33</f>
        <v>15.47765507717164</v>
      </c>
      <c r="D34" s="1">
        <f t="shared" si="14"/>
        <v>20.071041996139371</v>
      </c>
      <c r="E34" s="1">
        <f t="shared" si="14"/>
        <v>24.664428915107099</v>
      </c>
    </row>
    <row r="35" spans="1:5" x14ac:dyDescent="0.25">
      <c r="A35" s="4" t="s">
        <v>20</v>
      </c>
      <c r="B35" s="2">
        <f>B34*100</f>
        <v>1088.4268158203913</v>
      </c>
      <c r="C35" s="2">
        <f t="shared" ref="C35:E35" si="15">C34*100</f>
        <v>1547.7655077171639</v>
      </c>
      <c r="D35" s="2">
        <f t="shared" si="15"/>
        <v>2007.104199613937</v>
      </c>
      <c r="E35" s="2">
        <f t="shared" si="15"/>
        <v>2466.4428915107101</v>
      </c>
    </row>
    <row r="36" spans="1:5" x14ac:dyDescent="0.25">
      <c r="A36" s="4" t="s">
        <v>15</v>
      </c>
      <c r="B36">
        <v>595</v>
      </c>
      <c r="C36">
        <v>595</v>
      </c>
      <c r="D36">
        <v>595</v>
      </c>
      <c r="E36">
        <v>595</v>
      </c>
    </row>
    <row r="37" spans="1:5" x14ac:dyDescent="0.25">
      <c r="A37" s="4" t="s">
        <v>16</v>
      </c>
      <c r="B37" s="3">
        <f>B35/B36-1</f>
        <v>0.82928876608469126</v>
      </c>
      <c r="C37" s="3">
        <f t="shared" ref="C37:E37" si="16">C35/C36-1</f>
        <v>1.6012865675918722</v>
      </c>
      <c r="D37" s="3">
        <f t="shared" si="16"/>
        <v>2.3732843690990539</v>
      </c>
      <c r="E37" s="3">
        <f t="shared" si="16"/>
        <v>3.1452821706062357</v>
      </c>
    </row>
  </sheetData>
  <mergeCells count="3">
    <mergeCell ref="A1:E1"/>
    <mergeCell ref="A16:E16"/>
    <mergeCell ref="A22:E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45E1-6A44-40F3-96A6-F2D7B83F7F63}">
  <dimension ref="A1:E39"/>
  <sheetViews>
    <sheetView topLeftCell="A7" workbookViewId="0">
      <selection activeCell="G28" sqref="G28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t="s">
        <v>1</v>
      </c>
      <c r="B3">
        <v>1236</v>
      </c>
      <c r="C3">
        <v>1236</v>
      </c>
      <c r="D3">
        <v>1236</v>
      </c>
      <c r="E3">
        <v>1236</v>
      </c>
    </row>
    <row r="4" spans="1:5" x14ac:dyDescent="0.25">
      <c r="A4" t="s">
        <v>17</v>
      </c>
      <c r="B4">
        <v>230</v>
      </c>
      <c r="C4">
        <v>230</v>
      </c>
      <c r="D4">
        <v>230</v>
      </c>
      <c r="E4">
        <v>230</v>
      </c>
    </row>
    <row r="5" spans="1:5" x14ac:dyDescent="0.25">
      <c r="A5" t="s">
        <v>28</v>
      </c>
      <c r="B5">
        <f>47</f>
        <v>47</v>
      </c>
      <c r="C5">
        <f>47</f>
        <v>47</v>
      </c>
      <c r="D5">
        <f>47</f>
        <v>47</v>
      </c>
      <c r="E5">
        <f>47</f>
        <v>47</v>
      </c>
    </row>
    <row r="6" spans="1:5" x14ac:dyDescent="0.25">
      <c r="A6" t="s">
        <v>29</v>
      </c>
      <c r="B6">
        <f>140</f>
        <v>140</v>
      </c>
      <c r="C6">
        <f>140</f>
        <v>140</v>
      </c>
      <c r="D6">
        <f>140</f>
        <v>140</v>
      </c>
      <c r="E6">
        <f>140</f>
        <v>140</v>
      </c>
    </row>
    <row r="7" spans="1:5" x14ac:dyDescent="0.25">
      <c r="A7" s="4" t="s">
        <v>14</v>
      </c>
      <c r="B7">
        <f>B3+B4-B5-B6</f>
        <v>1279</v>
      </c>
      <c r="C7">
        <f t="shared" ref="C7:E7" si="0">C3+C4-C5-C6</f>
        <v>1279</v>
      </c>
      <c r="D7">
        <f t="shared" si="0"/>
        <v>1279</v>
      </c>
      <c r="E7">
        <f t="shared" si="0"/>
        <v>1279</v>
      </c>
    </row>
    <row r="8" spans="1:5" x14ac:dyDescent="0.25">
      <c r="A8" s="4" t="s">
        <v>2</v>
      </c>
      <c r="B8">
        <f>B7*B2</f>
        <v>5116</v>
      </c>
      <c r="C8">
        <f t="shared" ref="C8:E8" si="1">C7*C2</f>
        <v>6395</v>
      </c>
      <c r="D8">
        <f t="shared" si="1"/>
        <v>7674</v>
      </c>
      <c r="E8">
        <f t="shared" si="1"/>
        <v>8953</v>
      </c>
    </row>
    <row r="9" spans="1:5" x14ac:dyDescent="0.25">
      <c r="A9" s="4" t="s">
        <v>42</v>
      </c>
      <c r="B9" s="2">
        <f>3.1*B7</f>
        <v>3964.9</v>
      </c>
      <c r="C9" s="2">
        <f t="shared" ref="C9:E9" si="2">3.1*C7</f>
        <v>3964.9</v>
      </c>
      <c r="D9" s="2">
        <f t="shared" si="2"/>
        <v>3964.9</v>
      </c>
      <c r="E9" s="2">
        <f t="shared" si="2"/>
        <v>3964.9</v>
      </c>
    </row>
    <row r="10" spans="1:5" x14ac:dyDescent="0.25">
      <c r="A10" t="s">
        <v>3</v>
      </c>
      <c r="B10">
        <f>3630</f>
        <v>3630</v>
      </c>
      <c r="C10">
        <f>3630</f>
        <v>3630</v>
      </c>
      <c r="D10">
        <f>3630</f>
        <v>3630</v>
      </c>
      <c r="E10">
        <f>3630</f>
        <v>3630</v>
      </c>
    </row>
    <row r="11" spans="1:5" x14ac:dyDescent="0.25">
      <c r="A11" t="s">
        <v>25</v>
      </c>
      <c r="B11">
        <f>400</f>
        <v>400</v>
      </c>
      <c r="C11">
        <f>400</f>
        <v>400</v>
      </c>
      <c r="D11">
        <f>400</f>
        <v>400</v>
      </c>
      <c r="E11">
        <f>400</f>
        <v>400</v>
      </c>
    </row>
    <row r="12" spans="1:5" x14ac:dyDescent="0.25">
      <c r="A12" t="s">
        <v>26</v>
      </c>
      <c r="B12">
        <v>1400</v>
      </c>
      <c r="C12">
        <v>1400</v>
      </c>
      <c r="D12">
        <v>1400</v>
      </c>
      <c r="E12">
        <v>1400</v>
      </c>
    </row>
    <row r="13" spans="1:5" x14ac:dyDescent="0.25">
      <c r="A13" t="s">
        <v>9</v>
      </c>
      <c r="B13">
        <f>1415</f>
        <v>1415</v>
      </c>
      <c r="C13">
        <f>1415</f>
        <v>1415</v>
      </c>
      <c r="D13">
        <f>1415</f>
        <v>1415</v>
      </c>
      <c r="E13">
        <f>1415</f>
        <v>1415</v>
      </c>
    </row>
    <row r="14" spans="1:5" x14ac:dyDescent="0.25">
      <c r="A14" t="s">
        <v>43</v>
      </c>
      <c r="B14">
        <v>200</v>
      </c>
      <c r="C14">
        <v>200</v>
      </c>
      <c r="D14">
        <v>200</v>
      </c>
      <c r="E14">
        <v>200</v>
      </c>
    </row>
    <row r="15" spans="1:5" s="4" customFormat="1" x14ac:dyDescent="0.25">
      <c r="A15" s="4" t="s">
        <v>18</v>
      </c>
      <c r="B15">
        <f>B10-B11-B12+B13+B14</f>
        <v>3445</v>
      </c>
      <c r="C15">
        <f t="shared" ref="C15:E15" si="3">C10-C11-C12+C13+C14</f>
        <v>3445</v>
      </c>
      <c r="D15">
        <f t="shared" si="3"/>
        <v>3445</v>
      </c>
      <c r="E15">
        <f t="shared" si="3"/>
        <v>3445</v>
      </c>
    </row>
    <row r="16" spans="1:5" x14ac:dyDescent="0.25">
      <c r="A16" s="4" t="s">
        <v>30</v>
      </c>
      <c r="B16">
        <f>B8-B15</f>
        <v>1671</v>
      </c>
      <c r="C16">
        <f>C8-C15</f>
        <v>2950</v>
      </c>
      <c r="D16">
        <f>D8-D15</f>
        <v>4229</v>
      </c>
      <c r="E16">
        <f>E8-E15</f>
        <v>5508</v>
      </c>
    </row>
    <row r="17" spans="1:5" s="5" customFormat="1" x14ac:dyDescent="0.25">
      <c r="A17" s="11" t="s">
        <v>35</v>
      </c>
      <c r="B17" s="11"/>
      <c r="C17" s="11"/>
      <c r="D17" s="11"/>
      <c r="E17" s="11"/>
    </row>
    <row r="18" spans="1:5" s="5" customFormat="1" x14ac:dyDescent="0.25">
      <c r="A18" s="6" t="s">
        <v>2</v>
      </c>
      <c r="B18" s="7">
        <v>1250</v>
      </c>
      <c r="C18" s="7">
        <v>1250</v>
      </c>
      <c r="D18" s="7">
        <v>1250</v>
      </c>
      <c r="E18" s="7">
        <v>1250</v>
      </c>
    </row>
    <row r="19" spans="1:5" s="5" customFormat="1" x14ac:dyDescent="0.25">
      <c r="A19" s="6" t="s">
        <v>38</v>
      </c>
      <c r="B19" s="9">
        <v>0</v>
      </c>
      <c r="C19" s="9">
        <v>0</v>
      </c>
      <c r="D19" s="9">
        <v>0</v>
      </c>
      <c r="E19" s="9">
        <v>0</v>
      </c>
    </row>
    <row r="20" spans="1:5" s="5" customFormat="1" x14ac:dyDescent="0.25">
      <c r="A20" s="6" t="s">
        <v>4</v>
      </c>
      <c r="B20" s="9">
        <f>B18-B19</f>
        <v>1250</v>
      </c>
      <c r="C20" s="9">
        <f>C18-C19</f>
        <v>1250</v>
      </c>
      <c r="D20" s="9">
        <f>D18-D19</f>
        <v>1250</v>
      </c>
      <c r="E20" s="9">
        <f>E18-E19</f>
        <v>1250</v>
      </c>
    </row>
    <row r="21" spans="1:5" s="5" customFormat="1" x14ac:dyDescent="0.25">
      <c r="A21" s="6" t="s">
        <v>37</v>
      </c>
      <c r="B21" s="8">
        <f>5%</f>
        <v>0.05</v>
      </c>
      <c r="C21" s="8">
        <f>5%</f>
        <v>0.05</v>
      </c>
      <c r="D21" s="8">
        <f>5%</f>
        <v>0.05</v>
      </c>
      <c r="E21" s="8">
        <f>5%</f>
        <v>0.05</v>
      </c>
    </row>
    <row r="22" spans="1:5" x14ac:dyDescent="0.25">
      <c r="A22" s="4" t="s">
        <v>33</v>
      </c>
      <c r="B22" s="2">
        <f>B21*B20</f>
        <v>62.5</v>
      </c>
      <c r="C22" s="2">
        <f t="shared" ref="C22:E22" si="4">C21*C20</f>
        <v>62.5</v>
      </c>
      <c r="D22" s="2">
        <f t="shared" si="4"/>
        <v>62.5</v>
      </c>
      <c r="E22" s="2">
        <f t="shared" si="4"/>
        <v>62.5</v>
      </c>
    </row>
    <row r="23" spans="1:5" s="5" customFormat="1" x14ac:dyDescent="0.25">
      <c r="A23" s="11" t="s">
        <v>36</v>
      </c>
      <c r="B23" s="11"/>
      <c r="C23" s="11"/>
      <c r="D23" s="11"/>
      <c r="E23" s="11"/>
    </row>
    <row r="24" spans="1:5" s="5" customFormat="1" x14ac:dyDescent="0.25">
      <c r="A24" s="6" t="s">
        <v>4</v>
      </c>
      <c r="B24" s="9">
        <v>3640</v>
      </c>
      <c r="C24" s="9">
        <v>3640</v>
      </c>
      <c r="D24" s="9">
        <v>3640</v>
      </c>
      <c r="E24" s="9">
        <v>3640</v>
      </c>
    </row>
    <row r="25" spans="1:5" s="5" customFormat="1" x14ac:dyDescent="0.25">
      <c r="A25" s="6" t="s">
        <v>37</v>
      </c>
      <c r="B25" s="8">
        <f>17.5%</f>
        <v>0.17499999999999999</v>
      </c>
      <c r="C25" s="8">
        <f t="shared" ref="C25:E25" si="5">17.5%</f>
        <v>0.17499999999999999</v>
      </c>
      <c r="D25" s="8">
        <f t="shared" si="5"/>
        <v>0.17499999999999999</v>
      </c>
      <c r="E25" s="8">
        <f t="shared" si="5"/>
        <v>0.17499999999999999</v>
      </c>
    </row>
    <row r="26" spans="1:5" x14ac:dyDescent="0.25">
      <c r="A26" s="4" t="s">
        <v>33</v>
      </c>
      <c r="B26">
        <f>B25*B24</f>
        <v>637</v>
      </c>
      <c r="C26">
        <f t="shared" ref="C26:E26" si="6">C25*C24</f>
        <v>637</v>
      </c>
      <c r="D26">
        <f t="shared" si="6"/>
        <v>637</v>
      </c>
      <c r="E26">
        <f t="shared" si="6"/>
        <v>637</v>
      </c>
    </row>
    <row r="27" spans="1:5" x14ac:dyDescent="0.25">
      <c r="A27" s="4" t="s">
        <v>40</v>
      </c>
      <c r="B27" s="2">
        <f>B16+B22+B26</f>
        <v>2370.5</v>
      </c>
      <c r="C27" s="2">
        <f>C16+C22+C26</f>
        <v>3649.5</v>
      </c>
      <c r="D27" s="2">
        <f>D16+D22+D26</f>
        <v>4928.5</v>
      </c>
      <c r="E27" s="2">
        <f>E16+E22+E26</f>
        <v>6207.5</v>
      </c>
    </row>
    <row r="28" spans="1:5" x14ac:dyDescent="0.25">
      <c r="A28" t="s">
        <v>5</v>
      </c>
      <c r="B28" s="2">
        <f>759209905/1000000</f>
        <v>759.20990500000005</v>
      </c>
      <c r="C28" s="2">
        <f t="shared" ref="C28:E28" si="7">759209905/1000000</f>
        <v>759.20990500000005</v>
      </c>
      <c r="D28" s="2">
        <f t="shared" si="7"/>
        <v>759.20990500000005</v>
      </c>
      <c r="E28" s="2">
        <f t="shared" si="7"/>
        <v>759.20990500000005</v>
      </c>
    </row>
    <row r="29" spans="1:5" x14ac:dyDescent="0.25">
      <c r="A29" t="s">
        <v>23</v>
      </c>
      <c r="B29" s="2">
        <f>523240603/1000000</f>
        <v>523.24060299999996</v>
      </c>
      <c r="C29" s="2">
        <f t="shared" ref="C29:E29" si="8">523240603/1000000</f>
        <v>523.24060299999996</v>
      </c>
      <c r="D29" s="2">
        <f t="shared" si="8"/>
        <v>523.24060299999996</v>
      </c>
      <c r="E29" s="2">
        <f t="shared" si="8"/>
        <v>523.24060299999996</v>
      </c>
    </row>
    <row r="30" spans="1:5" x14ac:dyDescent="0.25">
      <c r="A30" t="s">
        <v>44</v>
      </c>
      <c r="B30" s="2">
        <f>12500000/1000000</f>
        <v>12.5</v>
      </c>
      <c r="C30" s="2">
        <f t="shared" ref="C30:E30" si="9">12500000/1000000</f>
        <v>12.5</v>
      </c>
      <c r="D30" s="2">
        <f t="shared" si="9"/>
        <v>12.5</v>
      </c>
      <c r="E30" s="2">
        <f t="shared" si="9"/>
        <v>12.5</v>
      </c>
    </row>
    <row r="31" spans="1:5" x14ac:dyDescent="0.25">
      <c r="A31" s="4" t="s">
        <v>6</v>
      </c>
      <c r="B31" s="2">
        <f>B28-B29-B30</f>
        <v>223.46930200000008</v>
      </c>
      <c r="C31" s="2">
        <f t="shared" ref="C31:E31" si="10">C28-C29-C30</f>
        <v>223.46930200000008</v>
      </c>
      <c r="D31" s="2">
        <f t="shared" si="10"/>
        <v>223.46930200000008</v>
      </c>
      <c r="E31" s="2">
        <f t="shared" si="10"/>
        <v>223.46930200000008</v>
      </c>
    </row>
    <row r="32" spans="1:5" x14ac:dyDescent="0.25">
      <c r="A32" t="s">
        <v>7</v>
      </c>
      <c r="B32" s="1">
        <f>B27/B31</f>
        <v>10.607720965629539</v>
      </c>
      <c r="C32" s="1">
        <f t="shared" ref="C32:E32" si="11">C27/C31</f>
        <v>16.33110215737819</v>
      </c>
      <c r="D32" s="1">
        <f t="shared" si="11"/>
        <v>22.054483349126844</v>
      </c>
      <c r="E32" s="1">
        <f t="shared" si="11"/>
        <v>27.777864540875495</v>
      </c>
    </row>
    <row r="33" spans="1:5" x14ac:dyDescent="0.25">
      <c r="A33" s="4" t="s">
        <v>10</v>
      </c>
      <c r="B33">
        <f>1.15</f>
        <v>1.1499999999999999</v>
      </c>
      <c r="C33">
        <f t="shared" ref="C33:E33" si="12">1.15</f>
        <v>1.1499999999999999</v>
      </c>
      <c r="D33">
        <f t="shared" si="12"/>
        <v>1.1499999999999999</v>
      </c>
      <c r="E33">
        <f t="shared" si="12"/>
        <v>1.1499999999999999</v>
      </c>
    </row>
    <row r="34" spans="1:5" x14ac:dyDescent="0.25">
      <c r="A34" t="s">
        <v>8</v>
      </c>
      <c r="B34" s="1">
        <f>B32/B33</f>
        <v>9.2241051875039481</v>
      </c>
      <c r="C34" s="1">
        <f t="shared" ref="C34:E34" si="13">C32/C33</f>
        <v>14.200958397720166</v>
      </c>
      <c r="D34" s="1">
        <f t="shared" si="13"/>
        <v>19.177811607936388</v>
      </c>
      <c r="E34" s="1">
        <f t="shared" si="13"/>
        <v>24.154664818152607</v>
      </c>
    </row>
    <row r="35" spans="1:5" x14ac:dyDescent="0.25">
      <c r="A35" t="s">
        <v>11</v>
      </c>
      <c r="B35">
        <f>1.57</f>
        <v>1.57</v>
      </c>
      <c r="C35">
        <f t="shared" ref="C35:E35" si="14">1.57</f>
        <v>1.57</v>
      </c>
      <c r="D35">
        <f t="shared" si="14"/>
        <v>1.57</v>
      </c>
      <c r="E35">
        <f t="shared" si="14"/>
        <v>1.57</v>
      </c>
    </row>
    <row r="36" spans="1:5" x14ac:dyDescent="0.25">
      <c r="A36" t="s">
        <v>22</v>
      </c>
      <c r="B36" s="1">
        <f>B34+B35</f>
        <v>10.794105187503948</v>
      </c>
      <c r="C36" s="1">
        <f t="shared" ref="C36:E36" si="15">C34+C35</f>
        <v>15.770958397720166</v>
      </c>
      <c r="D36" s="1">
        <f t="shared" si="15"/>
        <v>20.747811607936388</v>
      </c>
      <c r="E36" s="1">
        <f t="shared" si="15"/>
        <v>25.724664818152608</v>
      </c>
    </row>
    <row r="37" spans="1:5" x14ac:dyDescent="0.25">
      <c r="A37" s="4" t="s">
        <v>20</v>
      </c>
      <c r="B37" s="2">
        <f>B36*100</f>
        <v>1079.4105187503949</v>
      </c>
      <c r="C37" s="2">
        <f t="shared" ref="C37:E37" si="16">C36*100</f>
        <v>1577.0958397720167</v>
      </c>
      <c r="D37" s="2">
        <f t="shared" si="16"/>
        <v>2074.7811607936387</v>
      </c>
      <c r="E37" s="2">
        <f t="shared" si="16"/>
        <v>2572.466481815261</v>
      </c>
    </row>
    <row r="38" spans="1:5" x14ac:dyDescent="0.25">
      <c r="A38" s="4" t="s">
        <v>15</v>
      </c>
      <c r="B38">
        <v>595</v>
      </c>
      <c r="C38">
        <v>595</v>
      </c>
      <c r="D38">
        <v>595</v>
      </c>
      <c r="E38">
        <v>595</v>
      </c>
    </row>
    <row r="39" spans="1:5" x14ac:dyDescent="0.25">
      <c r="A39" s="4" t="s">
        <v>16</v>
      </c>
      <c r="B39" s="3">
        <f>B37/B38-1</f>
        <v>0.81413532563091584</v>
      </c>
      <c r="C39" s="3">
        <f t="shared" ref="C39:E39" si="17">C37/C38-1</f>
        <v>1.6505812433143139</v>
      </c>
      <c r="D39" s="3">
        <f t="shared" si="17"/>
        <v>2.4870271609977119</v>
      </c>
      <c r="E39" s="3">
        <f t="shared" si="17"/>
        <v>3.3234730786811113</v>
      </c>
    </row>
  </sheetData>
  <mergeCells count="3">
    <mergeCell ref="A1:E1"/>
    <mergeCell ref="A17:E17"/>
    <mergeCell ref="A23:E2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4BCD5-8FB7-42A8-A809-865887FCF150}">
  <dimension ref="A1:E27"/>
  <sheetViews>
    <sheetView tabSelected="1" workbookViewId="0">
      <selection activeCell="J26" sqref="J26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5" x14ac:dyDescent="0.25">
      <c r="A1" s="11" t="s">
        <v>34</v>
      </c>
      <c r="B1" s="11"/>
      <c r="C1" s="11"/>
      <c r="D1" s="11"/>
      <c r="E1" s="11"/>
    </row>
    <row r="2" spans="1:5" x14ac:dyDescent="0.25">
      <c r="A2" s="4" t="s">
        <v>0</v>
      </c>
      <c r="B2">
        <v>4</v>
      </c>
      <c r="C2">
        <v>5</v>
      </c>
      <c r="D2">
        <v>6</v>
      </c>
      <c r="E2">
        <v>7</v>
      </c>
    </row>
    <row r="3" spans="1:5" x14ac:dyDescent="0.25">
      <c r="A3" s="4" t="s">
        <v>48</v>
      </c>
      <c r="B3">
        <f>1341</f>
        <v>1341</v>
      </c>
      <c r="C3">
        <f>1341</f>
        <v>1341</v>
      </c>
      <c r="D3">
        <f>1341</f>
        <v>1341</v>
      </c>
      <c r="E3">
        <f>1341</f>
        <v>1341</v>
      </c>
    </row>
    <row r="4" spans="1:5" x14ac:dyDescent="0.25">
      <c r="A4" s="4" t="s">
        <v>2</v>
      </c>
      <c r="B4">
        <f>B3*B2</f>
        <v>5364</v>
      </c>
      <c r="C4">
        <f>C3*C2</f>
        <v>6705</v>
      </c>
      <c r="D4">
        <f>D3*D2</f>
        <v>8046</v>
      </c>
      <c r="E4">
        <f>E3*E2</f>
        <v>9387</v>
      </c>
    </row>
    <row r="5" spans="1:5" x14ac:dyDescent="0.25">
      <c r="A5" s="4" t="s">
        <v>42</v>
      </c>
      <c r="B5" s="2">
        <f>3.1*B3</f>
        <v>4157.1000000000004</v>
      </c>
      <c r="C5" s="2">
        <f t="shared" ref="C5:E5" si="0">3.1*C3</f>
        <v>4157.1000000000004</v>
      </c>
      <c r="D5" s="2">
        <f t="shared" si="0"/>
        <v>4157.1000000000004</v>
      </c>
      <c r="E5" s="2">
        <f t="shared" si="0"/>
        <v>4157.1000000000004</v>
      </c>
    </row>
    <row r="6" spans="1:5" x14ac:dyDescent="0.25">
      <c r="A6" t="s">
        <v>3</v>
      </c>
      <c r="B6">
        <f>3733</f>
        <v>3733</v>
      </c>
      <c r="C6">
        <f>3733</f>
        <v>3733</v>
      </c>
      <c r="D6">
        <f>3733</f>
        <v>3733</v>
      </c>
      <c r="E6">
        <f>3733</f>
        <v>3733</v>
      </c>
    </row>
    <row r="7" spans="1:5" x14ac:dyDescent="0.25">
      <c r="A7" t="s">
        <v>24</v>
      </c>
      <c r="B7">
        <f>519</f>
        <v>519</v>
      </c>
      <c r="C7">
        <f>519</f>
        <v>519</v>
      </c>
      <c r="D7">
        <f>519</f>
        <v>519</v>
      </c>
      <c r="E7">
        <f>519</f>
        <v>519</v>
      </c>
    </row>
    <row r="8" spans="1:5" s="4" customFormat="1" x14ac:dyDescent="0.25">
      <c r="A8" s="4" t="s">
        <v>18</v>
      </c>
      <c r="B8">
        <f>B6-B7</f>
        <v>3214</v>
      </c>
      <c r="C8">
        <f t="shared" ref="C8:E8" si="1">C6-C7</f>
        <v>3214</v>
      </c>
      <c r="D8">
        <f t="shared" si="1"/>
        <v>3214</v>
      </c>
      <c r="E8">
        <f t="shared" si="1"/>
        <v>3214</v>
      </c>
    </row>
    <row r="9" spans="1:5" x14ac:dyDescent="0.25">
      <c r="A9" s="4" t="s">
        <v>30</v>
      </c>
      <c r="B9">
        <f>B4-B8</f>
        <v>2150</v>
      </c>
      <c r="C9">
        <f>C4-C8</f>
        <v>3491</v>
      </c>
      <c r="D9">
        <f>D4-D8</f>
        <v>4832</v>
      </c>
      <c r="E9">
        <f>E4-E8</f>
        <v>6173</v>
      </c>
    </row>
    <row r="10" spans="1:5" s="5" customFormat="1" x14ac:dyDescent="0.25">
      <c r="A10" s="11" t="s">
        <v>35</v>
      </c>
      <c r="B10" s="11"/>
      <c r="C10" s="11"/>
      <c r="D10" s="11"/>
      <c r="E10" s="11"/>
    </row>
    <row r="11" spans="1:5" s="5" customFormat="1" x14ac:dyDescent="0.25">
      <c r="A11" s="6" t="s">
        <v>2</v>
      </c>
      <c r="B11" s="7">
        <v>1250</v>
      </c>
      <c r="C11" s="7">
        <v>1250</v>
      </c>
      <c r="D11" s="7">
        <v>1250</v>
      </c>
      <c r="E11" s="7">
        <v>1250</v>
      </c>
    </row>
    <row r="12" spans="1:5" s="5" customFormat="1" x14ac:dyDescent="0.25">
      <c r="A12" s="6" t="s">
        <v>38</v>
      </c>
      <c r="B12" s="9">
        <v>0</v>
      </c>
      <c r="C12" s="9">
        <v>0</v>
      </c>
      <c r="D12" s="9">
        <v>0</v>
      </c>
      <c r="E12" s="9">
        <v>0</v>
      </c>
    </row>
    <row r="13" spans="1:5" s="5" customFormat="1" x14ac:dyDescent="0.25">
      <c r="A13" s="6" t="s">
        <v>4</v>
      </c>
      <c r="B13" s="9">
        <f>B11-B12</f>
        <v>1250</v>
      </c>
      <c r="C13" s="9">
        <f>C11-C12</f>
        <v>1250</v>
      </c>
      <c r="D13" s="9">
        <f>D11-D12</f>
        <v>1250</v>
      </c>
      <c r="E13" s="9">
        <f>E11-E12</f>
        <v>1250</v>
      </c>
    </row>
    <row r="14" spans="1:5" s="5" customFormat="1" x14ac:dyDescent="0.25">
      <c r="A14" s="6" t="s">
        <v>37</v>
      </c>
      <c r="B14" s="8">
        <f>5%</f>
        <v>0.05</v>
      </c>
      <c r="C14" s="8">
        <f>5%</f>
        <v>0.05</v>
      </c>
      <c r="D14" s="8">
        <f>5%</f>
        <v>0.05</v>
      </c>
      <c r="E14" s="8">
        <f>5%</f>
        <v>0.05</v>
      </c>
    </row>
    <row r="15" spans="1:5" x14ac:dyDescent="0.25">
      <c r="A15" s="4" t="s">
        <v>33</v>
      </c>
      <c r="B15" s="2">
        <f>B14*B13</f>
        <v>62.5</v>
      </c>
      <c r="C15" s="2">
        <f t="shared" ref="C15:E15" si="2">C14*C13</f>
        <v>62.5</v>
      </c>
      <c r="D15" s="2">
        <f t="shared" si="2"/>
        <v>62.5</v>
      </c>
      <c r="E15" s="2">
        <f t="shared" si="2"/>
        <v>62.5</v>
      </c>
    </row>
    <row r="16" spans="1:5" s="5" customFormat="1" x14ac:dyDescent="0.25">
      <c r="A16" s="11" t="s">
        <v>36</v>
      </c>
      <c r="B16" s="11"/>
      <c r="C16" s="11"/>
      <c r="D16" s="11"/>
      <c r="E16" s="11"/>
    </row>
    <row r="17" spans="1:5" s="5" customFormat="1" x14ac:dyDescent="0.25">
      <c r="A17" s="6" t="s">
        <v>4</v>
      </c>
      <c r="B17" s="9">
        <v>3640</v>
      </c>
      <c r="C17" s="9">
        <f>B17</f>
        <v>3640</v>
      </c>
      <c r="D17" s="9">
        <f t="shared" ref="D17:E17" si="3">C17</f>
        <v>3640</v>
      </c>
      <c r="E17" s="9">
        <f t="shared" si="3"/>
        <v>3640</v>
      </c>
    </row>
    <row r="18" spans="1:5" s="5" customFormat="1" x14ac:dyDescent="0.25">
      <c r="A18" s="6" t="s">
        <v>37</v>
      </c>
      <c r="B18" s="8">
        <f>17.5%</f>
        <v>0.17499999999999999</v>
      </c>
      <c r="C18" s="8">
        <f t="shared" ref="C18:E18" si="4">17.5%</f>
        <v>0.17499999999999999</v>
      </c>
      <c r="D18" s="8">
        <f t="shared" si="4"/>
        <v>0.17499999999999999</v>
      </c>
      <c r="E18" s="8">
        <f t="shared" si="4"/>
        <v>0.17499999999999999</v>
      </c>
    </row>
    <row r="19" spans="1:5" x14ac:dyDescent="0.25">
      <c r="A19" s="4" t="s">
        <v>33</v>
      </c>
      <c r="B19">
        <f>B18*B17</f>
        <v>637</v>
      </c>
      <c r="C19">
        <f t="shared" ref="C19:E19" si="5">C18*C17</f>
        <v>637</v>
      </c>
      <c r="D19">
        <f t="shared" si="5"/>
        <v>637</v>
      </c>
      <c r="E19">
        <f t="shared" si="5"/>
        <v>637</v>
      </c>
    </row>
    <row r="20" spans="1:5" x14ac:dyDescent="0.25">
      <c r="A20" s="4" t="s">
        <v>40</v>
      </c>
      <c r="B20" s="2">
        <f>B9+B15+B19</f>
        <v>2849.5</v>
      </c>
      <c r="C20" s="2">
        <f>C9+C15+C19</f>
        <v>4190.5</v>
      </c>
      <c r="D20" s="2">
        <f>D9+D15+D19</f>
        <v>5531.5</v>
      </c>
      <c r="E20" s="2">
        <f>E9+E15+E19</f>
        <v>6872.5</v>
      </c>
    </row>
    <row r="21" spans="1:5" x14ac:dyDescent="0.25">
      <c r="A21" s="4" t="s">
        <v>45</v>
      </c>
      <c r="B21" s="2">
        <f>225713802/1000000</f>
        <v>225.71380199999999</v>
      </c>
      <c r="C21" s="2">
        <f t="shared" ref="C21:E21" si="6">225713802/1000000</f>
        <v>225.71380199999999</v>
      </c>
      <c r="D21" s="2">
        <f t="shared" si="6"/>
        <v>225.71380199999999</v>
      </c>
      <c r="E21" s="2">
        <f t="shared" si="6"/>
        <v>225.71380199999999</v>
      </c>
    </row>
    <row r="22" spans="1:5" x14ac:dyDescent="0.25">
      <c r="A22" t="s">
        <v>7</v>
      </c>
      <c r="B22" s="1">
        <f>B20/B21</f>
        <v>12.624394143163652</v>
      </c>
      <c r="C22" s="1">
        <f>C20/C21</f>
        <v>18.565546115784272</v>
      </c>
      <c r="D22" s="1">
        <f>D20/D21</f>
        <v>24.506698088404892</v>
      </c>
      <c r="E22" s="1">
        <f>E20/E21</f>
        <v>30.447850061025513</v>
      </c>
    </row>
    <row r="23" spans="1:5" x14ac:dyDescent="0.25">
      <c r="A23" s="4" t="s">
        <v>10</v>
      </c>
      <c r="B23">
        <f>1.17</f>
        <v>1.17</v>
      </c>
      <c r="C23">
        <f t="shared" ref="C23:E23" si="7">1.17</f>
        <v>1.17</v>
      </c>
      <c r="D23">
        <f t="shared" si="7"/>
        <v>1.17</v>
      </c>
      <c r="E23">
        <f t="shared" si="7"/>
        <v>1.17</v>
      </c>
    </row>
    <row r="24" spans="1:5" x14ac:dyDescent="0.25">
      <c r="A24" t="s">
        <v>8</v>
      </c>
      <c r="B24" s="1">
        <f>B22/B23</f>
        <v>10.790080464242438</v>
      </c>
      <c r="C24" s="1">
        <f t="shared" ref="C24:E24" si="8">C22/C23</f>
        <v>15.867988133148952</v>
      </c>
      <c r="D24" s="1">
        <f t="shared" si="8"/>
        <v>20.945895802055464</v>
      </c>
      <c r="E24" s="1">
        <f t="shared" si="8"/>
        <v>26.02380347096198</v>
      </c>
    </row>
    <row r="25" spans="1:5" x14ac:dyDescent="0.25">
      <c r="A25" s="4" t="s">
        <v>46</v>
      </c>
      <c r="B25" s="2">
        <f>B24*100</f>
        <v>1079.0080464242437</v>
      </c>
      <c r="C25" s="2">
        <f t="shared" ref="C25:E25" si="9">C24*100</f>
        <v>1586.7988133148951</v>
      </c>
      <c r="D25" s="2">
        <f t="shared" si="9"/>
        <v>2094.5895802055466</v>
      </c>
      <c r="E25" s="2">
        <f t="shared" si="9"/>
        <v>2602.380347096198</v>
      </c>
    </row>
    <row r="26" spans="1:5" x14ac:dyDescent="0.25">
      <c r="A26" s="4" t="s">
        <v>15</v>
      </c>
      <c r="B26">
        <f>595</f>
        <v>595</v>
      </c>
      <c r="C26">
        <f>595</f>
        <v>595</v>
      </c>
      <c r="D26">
        <f>595</f>
        <v>595</v>
      </c>
      <c r="E26">
        <f>595</f>
        <v>595</v>
      </c>
    </row>
    <row r="27" spans="1:5" x14ac:dyDescent="0.25">
      <c r="A27" s="4" t="s">
        <v>16</v>
      </c>
      <c r="B27" s="3">
        <f>B25/B26-1</f>
        <v>0.81345890155335088</v>
      </c>
      <c r="C27" s="3">
        <f t="shared" ref="C27:E27" si="10">C25/C26-1</f>
        <v>1.6668887618737736</v>
      </c>
      <c r="D27" s="3">
        <f t="shared" si="10"/>
        <v>2.5203186221941958</v>
      </c>
      <c r="E27" s="3">
        <f t="shared" si="10"/>
        <v>3.3737484825146185</v>
      </c>
    </row>
  </sheetData>
  <mergeCells count="3">
    <mergeCell ref="A1:E1"/>
    <mergeCell ref="A10:E10"/>
    <mergeCell ref="A16:E1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6010C-99CD-479C-8139-EA6F317E2069}">
  <dimension ref="A1:F26"/>
  <sheetViews>
    <sheetView workbookViewId="0">
      <selection activeCell="I8" sqref="I8"/>
    </sheetView>
  </sheetViews>
  <sheetFormatPr baseColWidth="10" defaultRowHeight="15" x14ac:dyDescent="0.25"/>
  <cols>
    <col min="1" max="1" width="49.7109375" bestFit="1" customWidth="1"/>
    <col min="2" max="2" width="20" bestFit="1" customWidth="1"/>
    <col min="3" max="5" width="13.5703125" bestFit="1" customWidth="1"/>
  </cols>
  <sheetData>
    <row r="1" spans="1:6" x14ac:dyDescent="0.25">
      <c r="A1" s="11" t="s">
        <v>34</v>
      </c>
      <c r="B1" s="11"/>
      <c r="C1" s="11"/>
      <c r="D1" s="11"/>
      <c r="E1" s="11"/>
      <c r="F1" s="11"/>
    </row>
    <row r="2" spans="1:6" x14ac:dyDescent="0.25">
      <c r="A2" s="4" t="s">
        <v>47</v>
      </c>
      <c r="B2">
        <f>10</f>
        <v>10</v>
      </c>
      <c r="C2">
        <f>11</f>
        <v>11</v>
      </c>
      <c r="D2">
        <f>12</f>
        <v>12</v>
      </c>
      <c r="E2">
        <f>13</f>
        <v>13</v>
      </c>
      <c r="F2">
        <f>14</f>
        <v>14</v>
      </c>
    </row>
    <row r="3" spans="1:6" x14ac:dyDescent="0.25">
      <c r="A3" s="4" t="s">
        <v>49</v>
      </c>
      <c r="B3">
        <f>763</f>
        <v>763</v>
      </c>
      <c r="C3">
        <f>763</f>
        <v>763</v>
      </c>
      <c r="D3">
        <f>763</f>
        <v>763</v>
      </c>
      <c r="E3">
        <f>763</f>
        <v>763</v>
      </c>
      <c r="F3">
        <f>763</f>
        <v>763</v>
      </c>
    </row>
    <row r="4" spans="1:6" x14ac:dyDescent="0.25">
      <c r="A4" s="4" t="s">
        <v>2</v>
      </c>
      <c r="B4">
        <f>B3*B2</f>
        <v>7630</v>
      </c>
      <c r="C4">
        <f>C3*C2</f>
        <v>8393</v>
      </c>
      <c r="D4">
        <f>D3*D2</f>
        <v>9156</v>
      </c>
      <c r="E4">
        <f>E3*E2</f>
        <v>9919</v>
      </c>
      <c r="F4">
        <f>F3*F2</f>
        <v>10682</v>
      </c>
    </row>
    <row r="5" spans="1:6" x14ac:dyDescent="0.25">
      <c r="A5" t="s">
        <v>3</v>
      </c>
      <c r="B5">
        <f>3733</f>
        <v>3733</v>
      </c>
      <c r="C5">
        <f>3733</f>
        <v>3733</v>
      </c>
      <c r="D5">
        <f>3733</f>
        <v>3733</v>
      </c>
      <c r="E5">
        <f>3733</f>
        <v>3733</v>
      </c>
      <c r="F5">
        <f>3733</f>
        <v>3733</v>
      </c>
    </row>
    <row r="6" spans="1:6" x14ac:dyDescent="0.25">
      <c r="A6" t="s">
        <v>24</v>
      </c>
      <c r="B6">
        <f>519</f>
        <v>519</v>
      </c>
      <c r="C6">
        <f>519</f>
        <v>519</v>
      </c>
      <c r="D6">
        <f>519</f>
        <v>519</v>
      </c>
      <c r="E6">
        <f>519</f>
        <v>519</v>
      </c>
      <c r="F6">
        <f>519</f>
        <v>519</v>
      </c>
    </row>
    <row r="7" spans="1:6" s="4" customFormat="1" x14ac:dyDescent="0.25">
      <c r="A7" s="4" t="s">
        <v>18</v>
      </c>
      <c r="B7">
        <f>B5-B6</f>
        <v>3214</v>
      </c>
      <c r="C7">
        <f t="shared" ref="C7:F7" si="0">C5-C6</f>
        <v>3214</v>
      </c>
      <c r="D7">
        <f t="shared" si="0"/>
        <v>3214</v>
      </c>
      <c r="E7">
        <f t="shared" si="0"/>
        <v>3214</v>
      </c>
      <c r="F7">
        <f t="shared" si="0"/>
        <v>3214</v>
      </c>
    </row>
    <row r="8" spans="1:6" x14ac:dyDescent="0.25">
      <c r="A8" s="4" t="s">
        <v>30</v>
      </c>
      <c r="B8">
        <f>B4-B7</f>
        <v>4416</v>
      </c>
      <c r="C8">
        <f>C4-C7</f>
        <v>5179</v>
      </c>
      <c r="D8">
        <f>D4-D7</f>
        <v>5942</v>
      </c>
      <c r="E8">
        <f>E4-E7</f>
        <v>6705</v>
      </c>
      <c r="F8">
        <f>F4-F7</f>
        <v>7468</v>
      </c>
    </row>
    <row r="9" spans="1:6" s="5" customFormat="1" x14ac:dyDescent="0.25">
      <c r="A9" s="11" t="s">
        <v>35</v>
      </c>
      <c r="B9" s="11"/>
      <c r="C9" s="11"/>
      <c r="D9" s="11"/>
      <c r="E9" s="11"/>
      <c r="F9" s="11"/>
    </row>
    <row r="10" spans="1:6" s="5" customFormat="1" x14ac:dyDescent="0.25">
      <c r="A10" s="6" t="s">
        <v>2</v>
      </c>
      <c r="B10" s="7">
        <v>1250</v>
      </c>
      <c r="C10" s="7">
        <v>1250</v>
      </c>
      <c r="D10" s="7">
        <v>1250</v>
      </c>
      <c r="E10" s="7">
        <v>1250</v>
      </c>
      <c r="F10" s="7">
        <v>1250</v>
      </c>
    </row>
    <row r="11" spans="1:6" s="5" customFormat="1" x14ac:dyDescent="0.25">
      <c r="A11" s="6" t="s">
        <v>38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</row>
    <row r="12" spans="1:6" s="5" customFormat="1" x14ac:dyDescent="0.25">
      <c r="A12" s="6" t="s">
        <v>4</v>
      </c>
      <c r="B12" s="9">
        <f>B10-B11</f>
        <v>1250</v>
      </c>
      <c r="C12" s="9">
        <f>C10-C11</f>
        <v>1250</v>
      </c>
      <c r="D12" s="9">
        <f>D10-D11</f>
        <v>1250</v>
      </c>
      <c r="E12" s="9">
        <f>E10-E11</f>
        <v>1250</v>
      </c>
      <c r="F12" s="9">
        <f>F10-F11</f>
        <v>1250</v>
      </c>
    </row>
    <row r="13" spans="1:6" s="5" customFormat="1" x14ac:dyDescent="0.25">
      <c r="A13" s="6" t="s">
        <v>37</v>
      </c>
      <c r="B13" s="8">
        <f>5%</f>
        <v>0.05</v>
      </c>
      <c r="C13" s="8">
        <f>5%</f>
        <v>0.05</v>
      </c>
      <c r="D13" s="8">
        <f>5%</f>
        <v>0.05</v>
      </c>
      <c r="E13" s="8">
        <f>5%</f>
        <v>0.05</v>
      </c>
      <c r="F13" s="8">
        <f>5%</f>
        <v>0.05</v>
      </c>
    </row>
    <row r="14" spans="1:6" x14ac:dyDescent="0.25">
      <c r="A14" s="4" t="s">
        <v>33</v>
      </c>
      <c r="B14" s="2">
        <f>B13*B12</f>
        <v>62.5</v>
      </c>
      <c r="C14" s="2">
        <f t="shared" ref="C14:E14" si="1">C13*C12</f>
        <v>62.5</v>
      </c>
      <c r="D14" s="2">
        <f t="shared" si="1"/>
        <v>62.5</v>
      </c>
      <c r="E14" s="2">
        <f t="shared" si="1"/>
        <v>62.5</v>
      </c>
      <c r="F14" s="2">
        <f t="shared" ref="F14" si="2">F13*F12</f>
        <v>62.5</v>
      </c>
    </row>
    <row r="15" spans="1:6" s="5" customFormat="1" x14ac:dyDescent="0.25">
      <c r="A15" s="10" t="s">
        <v>36</v>
      </c>
      <c r="B15" s="10"/>
      <c r="C15" s="10"/>
      <c r="D15" s="10"/>
      <c r="E15" s="10"/>
    </row>
    <row r="16" spans="1:6" s="5" customFormat="1" x14ac:dyDescent="0.25">
      <c r="A16" s="6" t="s">
        <v>4</v>
      </c>
      <c r="B16" s="9">
        <v>3640</v>
      </c>
      <c r="C16" s="9">
        <v>3640</v>
      </c>
      <c r="D16" s="9">
        <v>3640</v>
      </c>
      <c r="E16" s="9">
        <v>3640</v>
      </c>
      <c r="F16" s="9">
        <v>3641</v>
      </c>
    </row>
    <row r="17" spans="1:6" s="5" customFormat="1" x14ac:dyDescent="0.25">
      <c r="A17" s="6" t="s">
        <v>37</v>
      </c>
      <c r="B17" s="8">
        <f>17.5%</f>
        <v>0.17499999999999999</v>
      </c>
      <c r="C17" s="8">
        <f t="shared" ref="C17:F17" si="3">17.5%</f>
        <v>0.17499999999999999</v>
      </c>
      <c r="D17" s="8">
        <f t="shared" si="3"/>
        <v>0.17499999999999999</v>
      </c>
      <c r="E17" s="8">
        <f t="shared" si="3"/>
        <v>0.17499999999999999</v>
      </c>
      <c r="F17" s="8">
        <f t="shared" si="3"/>
        <v>0.17499999999999999</v>
      </c>
    </row>
    <row r="18" spans="1:6" x14ac:dyDescent="0.25">
      <c r="A18" s="4" t="s">
        <v>33</v>
      </c>
      <c r="B18">
        <f>B17*B16</f>
        <v>637</v>
      </c>
      <c r="C18">
        <f t="shared" ref="C18:E18" si="4">C17*C16</f>
        <v>637</v>
      </c>
      <c r="D18">
        <f t="shared" si="4"/>
        <v>637</v>
      </c>
      <c r="E18">
        <f t="shared" si="4"/>
        <v>637</v>
      </c>
      <c r="F18">
        <f t="shared" ref="F18" si="5">F17*F16</f>
        <v>637.17499999999995</v>
      </c>
    </row>
    <row r="19" spans="1:6" x14ac:dyDescent="0.25">
      <c r="A19" s="4" t="s">
        <v>40</v>
      </c>
      <c r="B19" s="2">
        <f>B8+B14+B18</f>
        <v>5115.5</v>
      </c>
      <c r="C19" s="2">
        <f>C8+C14+C18</f>
        <v>5878.5</v>
      </c>
      <c r="D19" s="2">
        <f>D8+D14+D18</f>
        <v>6641.5</v>
      </c>
      <c r="E19" s="2">
        <f>E8+E14+E18</f>
        <v>7404.5</v>
      </c>
      <c r="F19" s="2">
        <f>F8+F14+F18</f>
        <v>8167.6750000000002</v>
      </c>
    </row>
    <row r="20" spans="1:6" x14ac:dyDescent="0.25">
      <c r="A20" s="4" t="s">
        <v>45</v>
      </c>
      <c r="B20" s="2">
        <f>225713802/1000000</f>
        <v>225.71380199999999</v>
      </c>
      <c r="C20" s="2">
        <f t="shared" ref="C20:F20" si="6">225713802/1000000</f>
        <v>225.71380199999999</v>
      </c>
      <c r="D20" s="2">
        <f t="shared" si="6"/>
        <v>225.71380199999999</v>
      </c>
      <c r="E20" s="2">
        <f t="shared" si="6"/>
        <v>225.71380199999999</v>
      </c>
      <c r="F20" s="2">
        <f t="shared" si="6"/>
        <v>225.71380199999999</v>
      </c>
    </row>
    <row r="21" spans="1:6" x14ac:dyDescent="0.25">
      <c r="A21" t="s">
        <v>7</v>
      </c>
      <c r="B21" s="1">
        <f>B19/B20</f>
        <v>22.663656164012515</v>
      </c>
      <c r="C21" s="1">
        <f>C19/C20</f>
        <v>26.044043155145648</v>
      </c>
      <c r="D21" s="1">
        <f>D19/D20</f>
        <v>29.424430146278784</v>
      </c>
      <c r="E21" s="1">
        <f>E19/E20</f>
        <v>32.804817137411916</v>
      </c>
      <c r="F21" s="1">
        <f>F19/F20</f>
        <v>36.185979446662287</v>
      </c>
    </row>
    <row r="22" spans="1:6" x14ac:dyDescent="0.25">
      <c r="A22" s="4" t="s">
        <v>10</v>
      </c>
      <c r="B22">
        <f>1.17</f>
        <v>1.17</v>
      </c>
      <c r="C22">
        <f t="shared" ref="C22:F22" si="7">1.17</f>
        <v>1.17</v>
      </c>
      <c r="D22">
        <f t="shared" si="7"/>
        <v>1.17</v>
      </c>
      <c r="E22">
        <f t="shared" si="7"/>
        <v>1.17</v>
      </c>
      <c r="F22">
        <f t="shared" si="7"/>
        <v>1.17</v>
      </c>
    </row>
    <row r="23" spans="1:6" x14ac:dyDescent="0.25">
      <c r="A23" t="s">
        <v>8</v>
      </c>
      <c r="B23" s="1">
        <f>B21/B22</f>
        <v>19.370646294027793</v>
      </c>
      <c r="C23" s="1">
        <f t="shared" ref="C23:E23" si="8">C21/C22</f>
        <v>22.259865944568929</v>
      </c>
      <c r="D23" s="1">
        <f t="shared" si="8"/>
        <v>25.149085595110073</v>
      </c>
      <c r="E23" s="1">
        <f t="shared" si="8"/>
        <v>28.038305245651213</v>
      </c>
      <c r="F23" s="1">
        <f t="shared" ref="F23" si="9">F21/F22</f>
        <v>30.928187561249821</v>
      </c>
    </row>
    <row r="24" spans="1:6" x14ac:dyDescent="0.25">
      <c r="A24" s="4" t="s">
        <v>46</v>
      </c>
      <c r="B24" s="2">
        <f>B23*100</f>
        <v>1937.0646294027792</v>
      </c>
      <c r="C24" s="2">
        <f t="shared" ref="C24:F24" si="10">C23*100</f>
        <v>2225.9865944568928</v>
      </c>
      <c r="D24" s="2">
        <f t="shared" si="10"/>
        <v>2514.9085595110073</v>
      </c>
      <c r="E24" s="2">
        <f t="shared" si="10"/>
        <v>2803.8305245651213</v>
      </c>
      <c r="F24" s="2">
        <f t="shared" si="10"/>
        <v>3092.818756124982</v>
      </c>
    </row>
    <row r="25" spans="1:6" x14ac:dyDescent="0.25">
      <c r="A25" s="4" t="s">
        <v>15</v>
      </c>
      <c r="B25">
        <f>595</f>
        <v>595</v>
      </c>
      <c r="C25">
        <f>595</f>
        <v>595</v>
      </c>
      <c r="D25">
        <f>595</f>
        <v>595</v>
      </c>
      <c r="E25">
        <f>595</f>
        <v>595</v>
      </c>
      <c r="F25">
        <f>595</f>
        <v>595</v>
      </c>
    </row>
    <row r="26" spans="1:6" x14ac:dyDescent="0.25">
      <c r="A26" s="4" t="s">
        <v>16</v>
      </c>
      <c r="B26" s="3">
        <f>B24/B25-1</f>
        <v>2.2555708057189565</v>
      </c>
      <c r="C26" s="3">
        <f t="shared" ref="C26:E26" si="11">C24/C25-1</f>
        <v>2.7411539402636853</v>
      </c>
      <c r="D26" s="3">
        <f t="shared" si="11"/>
        <v>3.2267370748084154</v>
      </c>
      <c r="E26" s="3">
        <f t="shared" si="11"/>
        <v>3.7123202093531447</v>
      </c>
      <c r="F26" s="3">
        <f t="shared" ref="F26" si="12">F24/F25-1</f>
        <v>4.1980147161764405</v>
      </c>
    </row>
  </sheetData>
  <mergeCells count="2">
    <mergeCell ref="A9:F9"/>
    <mergeCell ref="A1:F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8590-68A6-476D-B63A-653E4BD7F956}">
  <dimension ref="A1:E24"/>
  <sheetViews>
    <sheetView workbookViewId="0">
      <selection activeCell="A15" sqref="A15"/>
    </sheetView>
  </sheetViews>
  <sheetFormatPr baseColWidth="10" defaultRowHeight="15" x14ac:dyDescent="0.25"/>
  <cols>
    <col min="1" max="1" width="46" bestFit="1" customWidth="1"/>
    <col min="2" max="2" width="20" bestFit="1" customWidth="1"/>
    <col min="3" max="5" width="13.5703125" bestFit="1" customWidth="1"/>
  </cols>
  <sheetData>
    <row r="1" spans="1:5" x14ac:dyDescent="0.25">
      <c r="A1" s="4" t="s">
        <v>0</v>
      </c>
      <c r="B1">
        <v>4</v>
      </c>
      <c r="C1">
        <v>5</v>
      </c>
      <c r="D1">
        <v>6</v>
      </c>
      <c r="E1">
        <v>7</v>
      </c>
    </row>
    <row r="2" spans="1:5" x14ac:dyDescent="0.25">
      <c r="A2" t="s">
        <v>1</v>
      </c>
      <c r="B2">
        <f>1300</f>
        <v>1300</v>
      </c>
      <c r="C2">
        <f>1300</f>
        <v>1300</v>
      </c>
      <c r="D2">
        <f>1300</f>
        <v>1300</v>
      </c>
      <c r="E2">
        <f>1300</f>
        <v>1300</v>
      </c>
    </row>
    <row r="3" spans="1:5" x14ac:dyDescent="0.25">
      <c r="A3" t="s">
        <v>12</v>
      </c>
      <c r="B3">
        <f>-50</f>
        <v>-50</v>
      </c>
      <c r="C3">
        <f t="shared" ref="C3:E4" si="0">-50</f>
        <v>-50</v>
      </c>
      <c r="D3">
        <f t="shared" si="0"/>
        <v>-50</v>
      </c>
      <c r="E3">
        <f t="shared" si="0"/>
        <v>-50</v>
      </c>
    </row>
    <row r="4" spans="1:5" x14ac:dyDescent="0.25">
      <c r="A4" t="s">
        <v>13</v>
      </c>
      <c r="B4">
        <f>-50</f>
        <v>-50</v>
      </c>
      <c r="C4">
        <f t="shared" si="0"/>
        <v>-50</v>
      </c>
      <c r="D4">
        <f t="shared" si="0"/>
        <v>-50</v>
      </c>
      <c r="E4">
        <f t="shared" si="0"/>
        <v>-50</v>
      </c>
    </row>
    <row r="5" spans="1:5" x14ac:dyDescent="0.25">
      <c r="A5" s="4" t="s">
        <v>14</v>
      </c>
      <c r="B5">
        <f>SUM(B2:B4)</f>
        <v>1200</v>
      </c>
      <c r="C5">
        <f t="shared" ref="C5:E5" si="1">SUM(C2:C4)</f>
        <v>1200</v>
      </c>
      <c r="D5">
        <f t="shared" si="1"/>
        <v>1200</v>
      </c>
      <c r="E5">
        <f t="shared" si="1"/>
        <v>1200</v>
      </c>
    </row>
    <row r="6" spans="1:5" x14ac:dyDescent="0.25">
      <c r="A6" s="4" t="s">
        <v>2</v>
      </c>
      <c r="B6">
        <f>B5*B1</f>
        <v>4800</v>
      </c>
      <c r="C6">
        <f t="shared" ref="C6:E6" si="2">C5*C1</f>
        <v>6000</v>
      </c>
      <c r="D6">
        <f t="shared" si="2"/>
        <v>7200</v>
      </c>
      <c r="E6">
        <f t="shared" si="2"/>
        <v>8400</v>
      </c>
    </row>
    <row r="7" spans="1:5" x14ac:dyDescent="0.25">
      <c r="A7" t="s">
        <v>3</v>
      </c>
      <c r="B7">
        <f>3800</f>
        <v>3800</v>
      </c>
      <c r="C7">
        <f>3800</f>
        <v>3800</v>
      </c>
      <c r="D7">
        <f>3800</f>
        <v>3800</v>
      </c>
      <c r="E7">
        <f>3800</f>
        <v>3800</v>
      </c>
    </row>
    <row r="8" spans="1:5" x14ac:dyDescent="0.25">
      <c r="A8" t="s">
        <v>24</v>
      </c>
      <c r="B8">
        <f>260</f>
        <v>260</v>
      </c>
      <c r="C8">
        <f>260</f>
        <v>260</v>
      </c>
      <c r="D8">
        <f>260</f>
        <v>260</v>
      </c>
      <c r="E8">
        <f>260</f>
        <v>260</v>
      </c>
    </row>
    <row r="9" spans="1:5" x14ac:dyDescent="0.25">
      <c r="A9" t="s">
        <v>25</v>
      </c>
      <c r="B9">
        <f>538</f>
        <v>538</v>
      </c>
      <c r="C9">
        <f>538</f>
        <v>538</v>
      </c>
      <c r="D9">
        <f>538</f>
        <v>538</v>
      </c>
      <c r="E9">
        <f>538</f>
        <v>538</v>
      </c>
    </row>
    <row r="10" spans="1:5" x14ac:dyDescent="0.25">
      <c r="A10" t="s">
        <v>26</v>
      </c>
      <c r="B10">
        <f>1776</f>
        <v>1776</v>
      </c>
      <c r="C10">
        <f>1776</f>
        <v>1776</v>
      </c>
      <c r="D10">
        <f>1776</f>
        <v>1776</v>
      </c>
      <c r="E10">
        <f>1776</f>
        <v>1776</v>
      </c>
    </row>
    <row r="11" spans="1:5" x14ac:dyDescent="0.25">
      <c r="A11" t="s">
        <v>9</v>
      </c>
      <c r="B11">
        <f>1405</f>
        <v>1405</v>
      </c>
      <c r="C11">
        <f>1405</f>
        <v>1405</v>
      </c>
      <c r="D11">
        <f>1405</f>
        <v>1405</v>
      </c>
      <c r="E11">
        <f>1405</f>
        <v>1405</v>
      </c>
    </row>
    <row r="12" spans="1:5" x14ac:dyDescent="0.25">
      <c r="A12" s="4" t="s">
        <v>18</v>
      </c>
      <c r="B12">
        <f>B7-B8-B9-B10+B11</f>
        <v>2631</v>
      </c>
      <c r="C12">
        <f t="shared" ref="C12:E12" si="3">C7-C8-C9-C10+C11</f>
        <v>2631</v>
      </c>
      <c r="D12">
        <f t="shared" si="3"/>
        <v>2631</v>
      </c>
      <c r="E12">
        <f t="shared" si="3"/>
        <v>2631</v>
      </c>
    </row>
    <row r="13" spans="1:5" x14ac:dyDescent="0.25">
      <c r="A13" s="4" t="s">
        <v>4</v>
      </c>
      <c r="B13">
        <f>B6-B12</f>
        <v>2169</v>
      </c>
      <c r="C13">
        <f t="shared" ref="C13:E13" si="4">C6-C12</f>
        <v>3369</v>
      </c>
      <c r="D13">
        <f t="shared" si="4"/>
        <v>4569</v>
      </c>
      <c r="E13">
        <f t="shared" si="4"/>
        <v>5769</v>
      </c>
    </row>
    <row r="14" spans="1:5" x14ac:dyDescent="0.25">
      <c r="A14" t="s">
        <v>5</v>
      </c>
      <c r="B14" s="2">
        <f>759209905/1000000</f>
        <v>759.20990500000005</v>
      </c>
      <c r="C14" s="2">
        <f t="shared" ref="C14:E14" si="5">759209905/1000000</f>
        <v>759.20990500000005</v>
      </c>
      <c r="D14" s="2">
        <f t="shared" si="5"/>
        <v>759.20990500000005</v>
      </c>
      <c r="E14" s="2">
        <f t="shared" si="5"/>
        <v>759.20990500000005</v>
      </c>
    </row>
    <row r="15" spans="1:5" x14ac:dyDescent="0.25">
      <c r="A15" t="s">
        <v>23</v>
      </c>
      <c r="B15" s="2">
        <f>523240603/1000000</f>
        <v>523.24060299999996</v>
      </c>
      <c r="C15" s="2">
        <f t="shared" ref="C15:E15" si="6">523240603/1000000</f>
        <v>523.24060299999996</v>
      </c>
      <c r="D15" s="2">
        <f t="shared" si="6"/>
        <v>523.24060299999996</v>
      </c>
      <c r="E15" s="2">
        <f t="shared" si="6"/>
        <v>523.24060299999996</v>
      </c>
    </row>
    <row r="16" spans="1:5" x14ac:dyDescent="0.25">
      <c r="A16" s="4" t="s">
        <v>6</v>
      </c>
      <c r="B16" s="2">
        <f>B14-B15</f>
        <v>235.96930200000008</v>
      </c>
      <c r="C16" s="2">
        <f t="shared" ref="C16:E16" si="7">C14-C15</f>
        <v>235.96930200000008</v>
      </c>
      <c r="D16" s="2">
        <f t="shared" si="7"/>
        <v>235.96930200000008</v>
      </c>
      <c r="E16" s="2">
        <f t="shared" si="7"/>
        <v>235.96930200000008</v>
      </c>
    </row>
    <row r="17" spans="1:5" x14ac:dyDescent="0.25">
      <c r="A17" t="s">
        <v>7</v>
      </c>
      <c r="B17" s="1">
        <f>B13/B16</f>
        <v>9.1918736107461942</v>
      </c>
      <c r="C17" s="1">
        <f t="shared" ref="C17:E17" si="8">C13/C16</f>
        <v>14.277280864271059</v>
      </c>
      <c r="D17" s="1">
        <f t="shared" si="8"/>
        <v>19.362688117795926</v>
      </c>
      <c r="E17" s="1">
        <f t="shared" si="8"/>
        <v>24.44809537132079</v>
      </c>
    </row>
    <row r="18" spans="1:5" x14ac:dyDescent="0.25">
      <c r="A18" s="4" t="s">
        <v>10</v>
      </c>
      <c r="B18">
        <f>1.2</f>
        <v>1.2</v>
      </c>
      <c r="C18">
        <f t="shared" ref="C18:E18" si="9">1.2</f>
        <v>1.2</v>
      </c>
      <c r="D18">
        <f t="shared" si="9"/>
        <v>1.2</v>
      </c>
      <c r="E18">
        <f t="shared" si="9"/>
        <v>1.2</v>
      </c>
    </row>
    <row r="19" spans="1:5" x14ac:dyDescent="0.25">
      <c r="A19" t="s">
        <v>21</v>
      </c>
      <c r="B19" s="1">
        <f>B17/B18</f>
        <v>7.6598946756218291</v>
      </c>
      <c r="C19" s="1">
        <f t="shared" ref="C19:E19" si="10">C17/C18</f>
        <v>11.897734053559217</v>
      </c>
      <c r="D19" s="1">
        <f t="shared" si="10"/>
        <v>16.135573431496606</v>
      </c>
      <c r="E19" s="1">
        <f t="shared" si="10"/>
        <v>20.373412809433994</v>
      </c>
    </row>
    <row r="20" spans="1:5" x14ac:dyDescent="0.25">
      <c r="A20" t="s">
        <v>11</v>
      </c>
      <c r="B20">
        <f>1.57</f>
        <v>1.57</v>
      </c>
      <c r="C20">
        <f t="shared" ref="C20:E20" si="11">1.57</f>
        <v>1.57</v>
      </c>
      <c r="D20">
        <f t="shared" si="11"/>
        <v>1.57</v>
      </c>
      <c r="E20">
        <f t="shared" si="11"/>
        <v>1.57</v>
      </c>
    </row>
    <row r="21" spans="1:5" x14ac:dyDescent="0.25">
      <c r="A21" s="4" t="s">
        <v>19</v>
      </c>
      <c r="B21" s="1">
        <f>B19+B20</f>
        <v>9.2298946756218285</v>
      </c>
      <c r="C21" s="1">
        <f t="shared" ref="C21:E21" si="12">C19+C20</f>
        <v>13.467734053559218</v>
      </c>
      <c r="D21" s="1">
        <f t="shared" si="12"/>
        <v>17.705573431496607</v>
      </c>
      <c r="E21" s="1">
        <f t="shared" si="12"/>
        <v>21.943412809433994</v>
      </c>
    </row>
    <row r="22" spans="1:5" x14ac:dyDescent="0.25">
      <c r="A22" s="4" t="s">
        <v>20</v>
      </c>
      <c r="B22" s="2">
        <f>B21*100</f>
        <v>922.98946756218288</v>
      </c>
      <c r="C22" s="2">
        <f t="shared" ref="C22:E22" si="13">C21*100</f>
        <v>1346.7734053559218</v>
      </c>
      <c r="D22" s="2">
        <f t="shared" si="13"/>
        <v>1770.5573431496607</v>
      </c>
      <c r="E22" s="2">
        <f t="shared" si="13"/>
        <v>2194.3412809433994</v>
      </c>
    </row>
    <row r="23" spans="1:5" x14ac:dyDescent="0.25">
      <c r="A23" s="4" t="s">
        <v>15</v>
      </c>
      <c r="B23">
        <v>595</v>
      </c>
      <c r="C23">
        <v>595</v>
      </c>
      <c r="D23">
        <v>595</v>
      </c>
      <c r="E23">
        <v>595</v>
      </c>
    </row>
    <row r="24" spans="1:5" x14ac:dyDescent="0.25">
      <c r="A24" s="4" t="s">
        <v>16</v>
      </c>
      <c r="B24" s="3">
        <f>B22/B23-1</f>
        <v>0.55124280262551739</v>
      </c>
      <c r="C24" s="3">
        <f t="shared" ref="C24:E24" si="14">C22/C23-1</f>
        <v>1.2634847148839023</v>
      </c>
      <c r="D24" s="3">
        <f t="shared" si="14"/>
        <v>1.9757266271422869</v>
      </c>
      <c r="E24" s="3">
        <f t="shared" si="14"/>
        <v>2.6879685394006714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Dividendo parcial + Preferentes</vt:lpstr>
      <vt:lpstr>Dividendo + Preferentes</vt:lpstr>
      <vt:lpstr>Reestructuracion (+Div+Pre)</vt:lpstr>
      <vt:lpstr>Venta FibreCo MasOrange</vt:lpstr>
      <vt:lpstr>Venta FibreCo MasOrange + Reest</vt:lpstr>
      <vt:lpstr>Venta 2 FibreCos</vt:lpstr>
      <vt:lpstr>Venta 2 FibreCos + Reestructura</vt:lpstr>
      <vt:lpstr>FibreCo Ret Capital Allocation</vt:lpstr>
      <vt:lpstr>Resultados FY26 EV-EBITDAaL</vt:lpstr>
      <vt:lpstr>Resultados FY26 EV-OpCF</vt:lpstr>
      <vt:lpstr>Gabriel Castro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Alfaro</dc:creator>
  <cp:lastModifiedBy>Pablo Alfaro</cp:lastModifiedBy>
  <dcterms:created xsi:type="dcterms:W3CDTF">2025-05-10T18:58:47Z</dcterms:created>
  <dcterms:modified xsi:type="dcterms:W3CDTF">2026-10-02T21:29:38Z</dcterms:modified>
</cp:coreProperties>
</file>